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llfa\RFDose\data-raw\"/>
    </mc:Choice>
  </mc:AlternateContent>
  <xr:revisionPtr revIDLastSave="0" documentId="8_{BEC5D948-E169-48F9-92EC-8C83A0BD0EE4}" xr6:coauthVersionLast="47" xr6:coauthVersionMax="47" xr10:uidLastSave="{00000000-0000-0000-0000-000000000000}"/>
  <bookViews>
    <workbookView xWindow="-110" yWindow="-110" windowWidth="19420" windowHeight="11500" tabRatio="500" firstSheet="2" activeTab="3" xr2:uid="{00000000-000D-0000-FFFF-FFFF00000000}"/>
  </bookViews>
  <sheets>
    <sheet name="Thelonious_fronteyes" sheetId="1" r:id="rId1"/>
    <sheet name="Thelonious_fronteyes_normalized" sheetId="2" r:id="rId2"/>
    <sheet name="Thelonious_belly" sheetId="3" r:id="rId3"/>
    <sheet name="Thelonious_belly_normalized" sheetId="4" r:id="rId4"/>
    <sheet name="Thelonious_ear" sheetId="5" r:id="rId5"/>
    <sheet name="Thelonious_ear_normalized" sheetId="6" r:id="rId6"/>
    <sheet name="Eartha_fronteyes" sheetId="7" r:id="rId7"/>
    <sheet name="Eartha_fronteyes_normalized" sheetId="8" r:id="rId8"/>
    <sheet name="Eartha_belly" sheetId="9" r:id="rId9"/>
    <sheet name="Eartha_belly_normalized" sheetId="10" r:id="rId10"/>
    <sheet name="Eartha_ear" sheetId="11" r:id="rId11"/>
    <sheet name="Eartha_ear_normalize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12" l="1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2" i="12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2" i="10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2" i="8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2" i="6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65" i="10"/>
  <c r="H65" i="10"/>
  <c r="G65" i="10"/>
  <c r="F65" i="10"/>
  <c r="E65" i="10"/>
  <c r="D65" i="10"/>
  <c r="I64" i="10"/>
  <c r="H64" i="10"/>
  <c r="G64" i="10"/>
  <c r="F64" i="10"/>
  <c r="E64" i="10"/>
  <c r="D64" i="10"/>
  <c r="I63" i="10"/>
  <c r="H63" i="10"/>
  <c r="G63" i="10"/>
  <c r="F63" i="10"/>
  <c r="E63" i="10"/>
  <c r="D63" i="10"/>
  <c r="I62" i="10"/>
  <c r="H62" i="10"/>
  <c r="G62" i="10"/>
  <c r="F62" i="10"/>
  <c r="E62" i="10"/>
  <c r="D62" i="10"/>
  <c r="I61" i="10"/>
  <c r="H61" i="10"/>
  <c r="G61" i="10"/>
  <c r="F61" i="10"/>
  <c r="E61" i="10"/>
  <c r="D61" i="10"/>
  <c r="I60" i="10"/>
  <c r="H60" i="10"/>
  <c r="G60" i="10"/>
  <c r="F60" i="10"/>
  <c r="E60" i="10"/>
  <c r="D60" i="10"/>
  <c r="I59" i="10"/>
  <c r="H59" i="10"/>
  <c r="G59" i="10"/>
  <c r="F59" i="10"/>
  <c r="E59" i="10"/>
  <c r="D59" i="10"/>
  <c r="I58" i="10"/>
  <c r="H58" i="10"/>
  <c r="G58" i="10"/>
  <c r="F58" i="10"/>
  <c r="E58" i="10"/>
  <c r="D58" i="10"/>
  <c r="I57" i="10"/>
  <c r="H57" i="10"/>
  <c r="G57" i="10"/>
  <c r="F57" i="10"/>
  <c r="E57" i="10"/>
  <c r="D57" i="10"/>
  <c r="I56" i="10"/>
  <c r="H56" i="10"/>
  <c r="G56" i="10"/>
  <c r="F56" i="10"/>
  <c r="E56" i="10"/>
  <c r="D56" i="10"/>
  <c r="I55" i="10"/>
  <c r="H55" i="10"/>
  <c r="G55" i="10"/>
  <c r="F55" i="10"/>
  <c r="E55" i="10"/>
  <c r="D55" i="10"/>
  <c r="I54" i="10"/>
  <c r="H54" i="10"/>
  <c r="G54" i="10"/>
  <c r="F54" i="10"/>
  <c r="E54" i="10"/>
  <c r="D54" i="10"/>
  <c r="I53" i="10"/>
  <c r="H53" i="10"/>
  <c r="G53" i="10"/>
  <c r="F53" i="10"/>
  <c r="E53" i="10"/>
  <c r="D53" i="10"/>
  <c r="I52" i="10"/>
  <c r="H52" i="10"/>
  <c r="G52" i="10"/>
  <c r="F52" i="10"/>
  <c r="E52" i="10"/>
  <c r="D52" i="10"/>
  <c r="I51" i="10"/>
  <c r="H51" i="10"/>
  <c r="G51" i="10"/>
  <c r="F51" i="10"/>
  <c r="E51" i="10"/>
  <c r="D51" i="10"/>
  <c r="I50" i="10"/>
  <c r="H50" i="10"/>
  <c r="G50" i="10"/>
  <c r="F50" i="10"/>
  <c r="E50" i="10"/>
  <c r="D50" i="10"/>
  <c r="I49" i="10"/>
  <c r="H49" i="10"/>
  <c r="G49" i="10"/>
  <c r="F49" i="10"/>
  <c r="E49" i="10"/>
  <c r="D49" i="10"/>
  <c r="I48" i="10"/>
  <c r="H48" i="10"/>
  <c r="G48" i="10"/>
  <c r="F48" i="10"/>
  <c r="E48" i="10"/>
  <c r="D48" i="10"/>
  <c r="I47" i="10"/>
  <c r="H47" i="10"/>
  <c r="G47" i="10"/>
  <c r="F47" i="10"/>
  <c r="E47" i="10"/>
  <c r="D47" i="10"/>
  <c r="I46" i="10"/>
  <c r="H46" i="10"/>
  <c r="G46" i="10"/>
  <c r="F46" i="10"/>
  <c r="E46" i="10"/>
  <c r="D46" i="10"/>
  <c r="I45" i="10"/>
  <c r="H45" i="10"/>
  <c r="G45" i="10"/>
  <c r="F45" i="10"/>
  <c r="E45" i="10"/>
  <c r="D45" i="10"/>
  <c r="I44" i="10"/>
  <c r="H44" i="10"/>
  <c r="G44" i="10"/>
  <c r="F44" i="10"/>
  <c r="E44" i="10"/>
  <c r="D44" i="10"/>
  <c r="I43" i="10"/>
  <c r="H43" i="10"/>
  <c r="G43" i="10"/>
  <c r="F43" i="10"/>
  <c r="E43" i="10"/>
  <c r="D43" i="10"/>
  <c r="I42" i="10"/>
  <c r="H42" i="10"/>
  <c r="G42" i="10"/>
  <c r="F42" i="10"/>
  <c r="E42" i="10"/>
  <c r="D42" i="10"/>
  <c r="I41" i="10"/>
  <c r="H41" i="10"/>
  <c r="G41" i="10"/>
  <c r="F41" i="10"/>
  <c r="E41" i="10"/>
  <c r="D41" i="10"/>
  <c r="I40" i="10"/>
  <c r="H40" i="10"/>
  <c r="G40" i="10"/>
  <c r="F40" i="10"/>
  <c r="E40" i="10"/>
  <c r="D40" i="10"/>
  <c r="I39" i="10"/>
  <c r="H39" i="10"/>
  <c r="G39" i="10"/>
  <c r="F39" i="10"/>
  <c r="E39" i="10"/>
  <c r="D39" i="10"/>
  <c r="I38" i="10"/>
  <c r="H38" i="10"/>
  <c r="G38" i="10"/>
  <c r="F38" i="10"/>
  <c r="E38" i="10"/>
  <c r="D38" i="10"/>
  <c r="I37" i="10"/>
  <c r="H37" i="10"/>
  <c r="G37" i="10"/>
  <c r="F37" i="10"/>
  <c r="E37" i="10"/>
  <c r="D37" i="10"/>
  <c r="I36" i="10"/>
  <c r="H36" i="10"/>
  <c r="G36" i="10"/>
  <c r="F36" i="10"/>
  <c r="E36" i="10"/>
  <c r="D36" i="10"/>
  <c r="I35" i="10"/>
  <c r="H35" i="10"/>
  <c r="G35" i="10"/>
  <c r="F35" i="10"/>
  <c r="E35" i="10"/>
  <c r="D35" i="10"/>
  <c r="I34" i="10"/>
  <c r="H34" i="10"/>
  <c r="G34" i="10"/>
  <c r="F34" i="10"/>
  <c r="E34" i="10"/>
  <c r="D34" i="10"/>
  <c r="I33" i="10"/>
  <c r="H33" i="10"/>
  <c r="G33" i="10"/>
  <c r="F33" i="10"/>
  <c r="E33" i="10"/>
  <c r="D33" i="10"/>
  <c r="I32" i="10"/>
  <c r="H32" i="10"/>
  <c r="G32" i="10"/>
  <c r="F32" i="10"/>
  <c r="E32" i="10"/>
  <c r="D32" i="10"/>
  <c r="I31" i="10"/>
  <c r="H31" i="10"/>
  <c r="G31" i="10"/>
  <c r="F31" i="10"/>
  <c r="E31" i="10"/>
  <c r="D31" i="10"/>
  <c r="I30" i="10"/>
  <c r="H30" i="10"/>
  <c r="G30" i="10"/>
  <c r="F30" i="10"/>
  <c r="E30" i="10"/>
  <c r="D30" i="10"/>
  <c r="I29" i="10"/>
  <c r="H29" i="10"/>
  <c r="G29" i="10"/>
  <c r="F29" i="10"/>
  <c r="E29" i="10"/>
  <c r="D29" i="10"/>
  <c r="I28" i="10"/>
  <c r="H28" i="10"/>
  <c r="G28" i="10"/>
  <c r="F28" i="10"/>
  <c r="E28" i="10"/>
  <c r="D28" i="10"/>
  <c r="I27" i="10"/>
  <c r="H27" i="10"/>
  <c r="G27" i="10"/>
  <c r="F27" i="10"/>
  <c r="E27" i="10"/>
  <c r="D27" i="10"/>
  <c r="I26" i="10"/>
  <c r="H26" i="10"/>
  <c r="G26" i="10"/>
  <c r="F26" i="10"/>
  <c r="E26" i="10"/>
  <c r="D26" i="10"/>
  <c r="I25" i="10"/>
  <c r="H25" i="10"/>
  <c r="G25" i="10"/>
  <c r="F25" i="10"/>
  <c r="E25" i="10"/>
  <c r="D25" i="10"/>
  <c r="I24" i="10"/>
  <c r="H24" i="10"/>
  <c r="G24" i="10"/>
  <c r="F24" i="10"/>
  <c r="E24" i="10"/>
  <c r="D24" i="10"/>
  <c r="I23" i="10"/>
  <c r="H23" i="10"/>
  <c r="G23" i="10"/>
  <c r="F23" i="10"/>
  <c r="E23" i="10"/>
  <c r="D23" i="10"/>
  <c r="I22" i="10"/>
  <c r="H22" i="10"/>
  <c r="G22" i="10"/>
  <c r="F22" i="10"/>
  <c r="E22" i="10"/>
  <c r="D22" i="10"/>
  <c r="I21" i="10"/>
  <c r="H21" i="10"/>
  <c r="G21" i="10"/>
  <c r="F21" i="10"/>
  <c r="E21" i="10"/>
  <c r="D21" i="10"/>
  <c r="I20" i="10"/>
  <c r="H20" i="10"/>
  <c r="G20" i="10"/>
  <c r="F20" i="10"/>
  <c r="E20" i="10"/>
  <c r="D20" i="10"/>
  <c r="I19" i="10"/>
  <c r="H19" i="10"/>
  <c r="G19" i="10"/>
  <c r="F19" i="10"/>
  <c r="E19" i="10"/>
  <c r="D19" i="10"/>
  <c r="I18" i="10"/>
  <c r="H18" i="10"/>
  <c r="G18" i="10"/>
  <c r="F18" i="10"/>
  <c r="E18" i="10"/>
  <c r="D18" i="10"/>
  <c r="I17" i="10"/>
  <c r="H17" i="10"/>
  <c r="G17" i="10"/>
  <c r="F17" i="10"/>
  <c r="E17" i="10"/>
  <c r="D17" i="10"/>
  <c r="I16" i="10"/>
  <c r="H16" i="10"/>
  <c r="G16" i="10"/>
  <c r="F16" i="10"/>
  <c r="E16" i="10"/>
  <c r="D16" i="10"/>
  <c r="I15" i="10"/>
  <c r="H15" i="10"/>
  <c r="G15" i="10"/>
  <c r="F15" i="10"/>
  <c r="E15" i="10"/>
  <c r="D15" i="10"/>
  <c r="I14" i="10"/>
  <c r="H14" i="10"/>
  <c r="G14" i="10"/>
  <c r="F14" i="10"/>
  <c r="E14" i="10"/>
  <c r="D14" i="10"/>
  <c r="I13" i="10"/>
  <c r="H13" i="10"/>
  <c r="G13" i="10"/>
  <c r="F13" i="10"/>
  <c r="E13" i="10"/>
  <c r="D13" i="10"/>
  <c r="I12" i="10"/>
  <c r="H12" i="10"/>
  <c r="G12" i="10"/>
  <c r="F12" i="10"/>
  <c r="E12" i="10"/>
  <c r="D12" i="10"/>
  <c r="I11" i="10"/>
  <c r="H11" i="10"/>
  <c r="G11" i="10"/>
  <c r="F11" i="10"/>
  <c r="E11" i="10"/>
  <c r="D11" i="10"/>
  <c r="I10" i="10"/>
  <c r="H10" i="10"/>
  <c r="G10" i="10"/>
  <c r="F10" i="10"/>
  <c r="E10" i="10"/>
  <c r="D10" i="10"/>
  <c r="I9" i="10"/>
  <c r="H9" i="10"/>
  <c r="G9" i="10"/>
  <c r="F9" i="10"/>
  <c r="E9" i="10"/>
  <c r="D9" i="10"/>
  <c r="I8" i="10"/>
  <c r="H8" i="10"/>
  <c r="G8" i="10"/>
  <c r="F8" i="10"/>
  <c r="E8" i="10"/>
  <c r="D8" i="10"/>
  <c r="I7" i="10"/>
  <c r="H7" i="10"/>
  <c r="G7" i="10"/>
  <c r="F7" i="10"/>
  <c r="E7" i="10"/>
  <c r="D7" i="10"/>
  <c r="I6" i="10"/>
  <c r="H6" i="10"/>
  <c r="G6" i="10"/>
  <c r="F6" i="10"/>
  <c r="E6" i="10"/>
  <c r="D6" i="10"/>
  <c r="I5" i="10"/>
  <c r="H5" i="10"/>
  <c r="G5" i="10"/>
  <c r="F5" i="10"/>
  <c r="E5" i="10"/>
  <c r="D5" i="10"/>
  <c r="I4" i="10"/>
  <c r="H4" i="10"/>
  <c r="G4" i="10"/>
  <c r="F4" i="10"/>
  <c r="E4" i="10"/>
  <c r="D4" i="10"/>
  <c r="I3" i="10"/>
  <c r="H3" i="10"/>
  <c r="G3" i="10"/>
  <c r="F3" i="10"/>
  <c r="E3" i="10"/>
  <c r="D3" i="10"/>
  <c r="I2" i="10"/>
  <c r="H2" i="10"/>
  <c r="G2" i="10"/>
  <c r="F2" i="10"/>
  <c r="E2" i="10"/>
  <c r="D2" i="10"/>
  <c r="I65" i="8"/>
  <c r="H65" i="8"/>
  <c r="G65" i="8"/>
  <c r="F65" i="8"/>
  <c r="E65" i="8"/>
  <c r="D65" i="8"/>
  <c r="I64" i="8"/>
  <c r="H64" i="8"/>
  <c r="G64" i="8"/>
  <c r="F64" i="8"/>
  <c r="E64" i="8"/>
  <c r="D64" i="8"/>
  <c r="I63" i="8"/>
  <c r="H63" i="8"/>
  <c r="G63" i="8"/>
  <c r="F63" i="8"/>
  <c r="E63" i="8"/>
  <c r="D63" i="8"/>
  <c r="I62" i="8"/>
  <c r="H62" i="8"/>
  <c r="G62" i="8"/>
  <c r="F62" i="8"/>
  <c r="E62" i="8"/>
  <c r="D62" i="8"/>
  <c r="I61" i="8"/>
  <c r="H61" i="8"/>
  <c r="G61" i="8"/>
  <c r="F61" i="8"/>
  <c r="E61" i="8"/>
  <c r="D61" i="8"/>
  <c r="I60" i="8"/>
  <c r="H60" i="8"/>
  <c r="G60" i="8"/>
  <c r="F60" i="8"/>
  <c r="E60" i="8"/>
  <c r="D60" i="8"/>
  <c r="I59" i="8"/>
  <c r="H59" i="8"/>
  <c r="G59" i="8"/>
  <c r="F59" i="8"/>
  <c r="E59" i="8"/>
  <c r="D59" i="8"/>
  <c r="I58" i="8"/>
  <c r="H58" i="8"/>
  <c r="G58" i="8"/>
  <c r="F58" i="8"/>
  <c r="E58" i="8"/>
  <c r="D58" i="8"/>
  <c r="I57" i="8"/>
  <c r="H57" i="8"/>
  <c r="G57" i="8"/>
  <c r="F57" i="8"/>
  <c r="E57" i="8"/>
  <c r="D57" i="8"/>
  <c r="I56" i="8"/>
  <c r="H56" i="8"/>
  <c r="G56" i="8"/>
  <c r="F56" i="8"/>
  <c r="E56" i="8"/>
  <c r="D56" i="8"/>
  <c r="I55" i="8"/>
  <c r="H55" i="8"/>
  <c r="G55" i="8"/>
  <c r="F55" i="8"/>
  <c r="E55" i="8"/>
  <c r="D55" i="8"/>
  <c r="I54" i="8"/>
  <c r="H54" i="8"/>
  <c r="G54" i="8"/>
  <c r="F54" i="8"/>
  <c r="E54" i="8"/>
  <c r="D54" i="8"/>
  <c r="I53" i="8"/>
  <c r="H53" i="8"/>
  <c r="G53" i="8"/>
  <c r="F53" i="8"/>
  <c r="E53" i="8"/>
  <c r="D53" i="8"/>
  <c r="I52" i="8"/>
  <c r="H52" i="8"/>
  <c r="G52" i="8"/>
  <c r="F52" i="8"/>
  <c r="E52" i="8"/>
  <c r="D52" i="8"/>
  <c r="I51" i="8"/>
  <c r="H51" i="8"/>
  <c r="G51" i="8"/>
  <c r="F51" i="8"/>
  <c r="E51" i="8"/>
  <c r="D51" i="8"/>
  <c r="I50" i="8"/>
  <c r="H50" i="8"/>
  <c r="G50" i="8"/>
  <c r="F50" i="8"/>
  <c r="E50" i="8"/>
  <c r="D50" i="8"/>
  <c r="I49" i="8"/>
  <c r="H49" i="8"/>
  <c r="G49" i="8"/>
  <c r="F49" i="8"/>
  <c r="E49" i="8"/>
  <c r="D49" i="8"/>
  <c r="I48" i="8"/>
  <c r="H48" i="8"/>
  <c r="G48" i="8"/>
  <c r="F48" i="8"/>
  <c r="E48" i="8"/>
  <c r="D48" i="8"/>
  <c r="I47" i="8"/>
  <c r="H47" i="8"/>
  <c r="G47" i="8"/>
  <c r="F47" i="8"/>
  <c r="E47" i="8"/>
  <c r="D47" i="8"/>
  <c r="I46" i="8"/>
  <c r="H46" i="8"/>
  <c r="G46" i="8"/>
  <c r="F46" i="8"/>
  <c r="E46" i="8"/>
  <c r="D46" i="8"/>
  <c r="I45" i="8"/>
  <c r="H45" i="8"/>
  <c r="G45" i="8"/>
  <c r="F45" i="8"/>
  <c r="E45" i="8"/>
  <c r="D45" i="8"/>
  <c r="I44" i="8"/>
  <c r="H44" i="8"/>
  <c r="G44" i="8"/>
  <c r="F44" i="8"/>
  <c r="E44" i="8"/>
  <c r="D44" i="8"/>
  <c r="I43" i="8"/>
  <c r="H43" i="8"/>
  <c r="G43" i="8"/>
  <c r="F43" i="8"/>
  <c r="E43" i="8"/>
  <c r="D43" i="8"/>
  <c r="I42" i="8"/>
  <c r="H42" i="8"/>
  <c r="G42" i="8"/>
  <c r="F42" i="8"/>
  <c r="E42" i="8"/>
  <c r="D42" i="8"/>
  <c r="I41" i="8"/>
  <c r="H41" i="8"/>
  <c r="G41" i="8"/>
  <c r="F41" i="8"/>
  <c r="E41" i="8"/>
  <c r="D41" i="8"/>
  <c r="I40" i="8"/>
  <c r="H40" i="8"/>
  <c r="G40" i="8"/>
  <c r="F40" i="8"/>
  <c r="E40" i="8"/>
  <c r="D40" i="8"/>
  <c r="I39" i="8"/>
  <c r="H39" i="8"/>
  <c r="G39" i="8"/>
  <c r="F39" i="8"/>
  <c r="E39" i="8"/>
  <c r="D39" i="8"/>
  <c r="I38" i="8"/>
  <c r="H38" i="8"/>
  <c r="G38" i="8"/>
  <c r="F38" i="8"/>
  <c r="E38" i="8"/>
  <c r="D38" i="8"/>
  <c r="I37" i="8"/>
  <c r="H37" i="8"/>
  <c r="G37" i="8"/>
  <c r="F37" i="8"/>
  <c r="E37" i="8"/>
  <c r="D37" i="8"/>
  <c r="I36" i="8"/>
  <c r="H36" i="8"/>
  <c r="G36" i="8"/>
  <c r="F36" i="8"/>
  <c r="E36" i="8"/>
  <c r="D36" i="8"/>
  <c r="I35" i="8"/>
  <c r="H35" i="8"/>
  <c r="G35" i="8"/>
  <c r="F35" i="8"/>
  <c r="E35" i="8"/>
  <c r="D35" i="8"/>
  <c r="I34" i="8"/>
  <c r="H34" i="8"/>
  <c r="G34" i="8"/>
  <c r="F34" i="8"/>
  <c r="E34" i="8"/>
  <c r="D34" i="8"/>
  <c r="I33" i="8"/>
  <c r="H33" i="8"/>
  <c r="G33" i="8"/>
  <c r="F33" i="8"/>
  <c r="E33" i="8"/>
  <c r="D33" i="8"/>
  <c r="I32" i="8"/>
  <c r="H32" i="8"/>
  <c r="G32" i="8"/>
  <c r="F32" i="8"/>
  <c r="E32" i="8"/>
  <c r="D32" i="8"/>
  <c r="I31" i="8"/>
  <c r="H31" i="8"/>
  <c r="G31" i="8"/>
  <c r="F31" i="8"/>
  <c r="E31" i="8"/>
  <c r="D31" i="8"/>
  <c r="I30" i="8"/>
  <c r="H30" i="8"/>
  <c r="G30" i="8"/>
  <c r="F30" i="8"/>
  <c r="E30" i="8"/>
  <c r="D30" i="8"/>
  <c r="I29" i="8"/>
  <c r="H29" i="8"/>
  <c r="G29" i="8"/>
  <c r="F29" i="8"/>
  <c r="E29" i="8"/>
  <c r="D29" i="8"/>
  <c r="I28" i="8"/>
  <c r="H28" i="8"/>
  <c r="G28" i="8"/>
  <c r="F28" i="8"/>
  <c r="E28" i="8"/>
  <c r="D28" i="8"/>
  <c r="I27" i="8"/>
  <c r="H27" i="8"/>
  <c r="G27" i="8"/>
  <c r="F27" i="8"/>
  <c r="E27" i="8"/>
  <c r="D27" i="8"/>
  <c r="I26" i="8"/>
  <c r="H26" i="8"/>
  <c r="G26" i="8"/>
  <c r="F26" i="8"/>
  <c r="E26" i="8"/>
  <c r="D26" i="8"/>
  <c r="I25" i="8"/>
  <c r="H25" i="8"/>
  <c r="G25" i="8"/>
  <c r="F25" i="8"/>
  <c r="E25" i="8"/>
  <c r="D25" i="8"/>
  <c r="I24" i="8"/>
  <c r="H24" i="8"/>
  <c r="G24" i="8"/>
  <c r="F24" i="8"/>
  <c r="E24" i="8"/>
  <c r="D24" i="8"/>
  <c r="I23" i="8"/>
  <c r="H23" i="8"/>
  <c r="G23" i="8"/>
  <c r="F23" i="8"/>
  <c r="E23" i="8"/>
  <c r="D23" i="8"/>
  <c r="I22" i="8"/>
  <c r="H22" i="8"/>
  <c r="G22" i="8"/>
  <c r="F22" i="8"/>
  <c r="E22" i="8"/>
  <c r="D22" i="8"/>
  <c r="I21" i="8"/>
  <c r="H21" i="8"/>
  <c r="G21" i="8"/>
  <c r="F21" i="8"/>
  <c r="E21" i="8"/>
  <c r="D21" i="8"/>
  <c r="I20" i="8"/>
  <c r="H20" i="8"/>
  <c r="G20" i="8"/>
  <c r="F20" i="8"/>
  <c r="E20" i="8"/>
  <c r="D20" i="8"/>
  <c r="I19" i="8"/>
  <c r="H19" i="8"/>
  <c r="G19" i="8"/>
  <c r="F19" i="8"/>
  <c r="E19" i="8"/>
  <c r="D19" i="8"/>
  <c r="I18" i="8"/>
  <c r="H18" i="8"/>
  <c r="G18" i="8"/>
  <c r="F18" i="8"/>
  <c r="E18" i="8"/>
  <c r="D18" i="8"/>
  <c r="I17" i="8"/>
  <c r="H17" i="8"/>
  <c r="G17" i="8"/>
  <c r="F17" i="8"/>
  <c r="E17" i="8"/>
  <c r="D17" i="8"/>
  <c r="I16" i="8"/>
  <c r="H16" i="8"/>
  <c r="G16" i="8"/>
  <c r="F16" i="8"/>
  <c r="E16" i="8"/>
  <c r="D16" i="8"/>
  <c r="I15" i="8"/>
  <c r="H15" i="8"/>
  <c r="G15" i="8"/>
  <c r="F15" i="8"/>
  <c r="E15" i="8"/>
  <c r="D15" i="8"/>
  <c r="I14" i="8"/>
  <c r="H14" i="8"/>
  <c r="G14" i="8"/>
  <c r="F14" i="8"/>
  <c r="E14" i="8"/>
  <c r="D14" i="8"/>
  <c r="I13" i="8"/>
  <c r="H13" i="8"/>
  <c r="G13" i="8"/>
  <c r="F13" i="8"/>
  <c r="E13" i="8"/>
  <c r="D13" i="8"/>
  <c r="I12" i="8"/>
  <c r="H12" i="8"/>
  <c r="G12" i="8"/>
  <c r="F12" i="8"/>
  <c r="E12" i="8"/>
  <c r="D12" i="8"/>
  <c r="I11" i="8"/>
  <c r="H11" i="8"/>
  <c r="G11" i="8"/>
  <c r="F11" i="8"/>
  <c r="E11" i="8"/>
  <c r="D11" i="8"/>
  <c r="I10" i="8"/>
  <c r="H10" i="8"/>
  <c r="G10" i="8"/>
  <c r="F10" i="8"/>
  <c r="E10" i="8"/>
  <c r="D10" i="8"/>
  <c r="I9" i="8"/>
  <c r="H9" i="8"/>
  <c r="G9" i="8"/>
  <c r="F9" i="8"/>
  <c r="E9" i="8"/>
  <c r="D9" i="8"/>
  <c r="I8" i="8"/>
  <c r="H8" i="8"/>
  <c r="G8" i="8"/>
  <c r="F8" i="8"/>
  <c r="E8" i="8"/>
  <c r="D8" i="8"/>
  <c r="I7" i="8"/>
  <c r="H7" i="8"/>
  <c r="G7" i="8"/>
  <c r="F7" i="8"/>
  <c r="E7" i="8"/>
  <c r="D7" i="8"/>
  <c r="I6" i="8"/>
  <c r="H6" i="8"/>
  <c r="G6" i="8"/>
  <c r="F6" i="8"/>
  <c r="E6" i="8"/>
  <c r="D6" i="8"/>
  <c r="I5" i="8"/>
  <c r="H5" i="8"/>
  <c r="G5" i="8"/>
  <c r="F5" i="8"/>
  <c r="E5" i="8"/>
  <c r="D5" i="8"/>
  <c r="I4" i="8"/>
  <c r="H4" i="8"/>
  <c r="G4" i="8"/>
  <c r="F4" i="8"/>
  <c r="E4" i="8"/>
  <c r="D4" i="8"/>
  <c r="I3" i="8"/>
  <c r="H3" i="8"/>
  <c r="G3" i="8"/>
  <c r="F3" i="8"/>
  <c r="E3" i="8"/>
  <c r="D3" i="8"/>
  <c r="I2" i="8"/>
  <c r="H2" i="8"/>
  <c r="G2" i="8"/>
  <c r="F2" i="8"/>
  <c r="E2" i="8"/>
  <c r="D2" i="8"/>
  <c r="I49" i="6"/>
  <c r="H49" i="6"/>
  <c r="G49" i="6"/>
  <c r="F49" i="6"/>
  <c r="E49" i="6"/>
  <c r="D49" i="6"/>
  <c r="I48" i="6"/>
  <c r="H48" i="6"/>
  <c r="G48" i="6"/>
  <c r="F48" i="6"/>
  <c r="E48" i="6"/>
  <c r="D48" i="6"/>
  <c r="I47" i="6"/>
  <c r="H47" i="6"/>
  <c r="G47" i="6"/>
  <c r="F47" i="6"/>
  <c r="E47" i="6"/>
  <c r="D47" i="6"/>
  <c r="I46" i="6"/>
  <c r="H46" i="6"/>
  <c r="G46" i="6"/>
  <c r="F46" i="6"/>
  <c r="E46" i="6"/>
  <c r="D46" i="6"/>
  <c r="I45" i="6"/>
  <c r="H45" i="6"/>
  <c r="G45" i="6"/>
  <c r="F45" i="6"/>
  <c r="E45" i="6"/>
  <c r="D45" i="6"/>
  <c r="I44" i="6"/>
  <c r="H44" i="6"/>
  <c r="G44" i="6"/>
  <c r="F44" i="6"/>
  <c r="E44" i="6"/>
  <c r="D44" i="6"/>
  <c r="I43" i="6"/>
  <c r="H43" i="6"/>
  <c r="G43" i="6"/>
  <c r="F43" i="6"/>
  <c r="E43" i="6"/>
  <c r="D43" i="6"/>
  <c r="I42" i="6"/>
  <c r="H42" i="6"/>
  <c r="G42" i="6"/>
  <c r="F42" i="6"/>
  <c r="E42" i="6"/>
  <c r="D42" i="6"/>
  <c r="I41" i="6"/>
  <c r="H41" i="6"/>
  <c r="G41" i="6"/>
  <c r="F41" i="6"/>
  <c r="E41" i="6"/>
  <c r="D41" i="6"/>
  <c r="I40" i="6"/>
  <c r="H40" i="6"/>
  <c r="G40" i="6"/>
  <c r="F40" i="6"/>
  <c r="E40" i="6"/>
  <c r="D40" i="6"/>
  <c r="I39" i="6"/>
  <c r="H39" i="6"/>
  <c r="G39" i="6"/>
  <c r="F39" i="6"/>
  <c r="E39" i="6"/>
  <c r="D39" i="6"/>
  <c r="I38" i="6"/>
  <c r="H38" i="6"/>
  <c r="G38" i="6"/>
  <c r="F38" i="6"/>
  <c r="E38" i="6"/>
  <c r="D38" i="6"/>
  <c r="I37" i="6"/>
  <c r="H37" i="6"/>
  <c r="G37" i="6"/>
  <c r="F37" i="6"/>
  <c r="E37" i="6"/>
  <c r="D37" i="6"/>
  <c r="I36" i="6"/>
  <c r="H36" i="6"/>
  <c r="G36" i="6"/>
  <c r="F36" i="6"/>
  <c r="E36" i="6"/>
  <c r="D36" i="6"/>
  <c r="I35" i="6"/>
  <c r="H35" i="6"/>
  <c r="G35" i="6"/>
  <c r="F35" i="6"/>
  <c r="E35" i="6"/>
  <c r="D35" i="6"/>
  <c r="I34" i="6"/>
  <c r="H34" i="6"/>
  <c r="G34" i="6"/>
  <c r="F34" i="6"/>
  <c r="E34" i="6"/>
  <c r="D34" i="6"/>
  <c r="I33" i="6"/>
  <c r="H33" i="6"/>
  <c r="G33" i="6"/>
  <c r="F33" i="6"/>
  <c r="E33" i="6"/>
  <c r="D33" i="6"/>
  <c r="I32" i="6"/>
  <c r="H32" i="6"/>
  <c r="G32" i="6"/>
  <c r="F32" i="6"/>
  <c r="E32" i="6"/>
  <c r="D32" i="6"/>
  <c r="I31" i="6"/>
  <c r="H31" i="6"/>
  <c r="G31" i="6"/>
  <c r="F31" i="6"/>
  <c r="E31" i="6"/>
  <c r="D31" i="6"/>
  <c r="I30" i="6"/>
  <c r="H30" i="6"/>
  <c r="G30" i="6"/>
  <c r="F30" i="6"/>
  <c r="E30" i="6"/>
  <c r="D30" i="6"/>
  <c r="I29" i="6"/>
  <c r="H29" i="6"/>
  <c r="G29" i="6"/>
  <c r="F29" i="6"/>
  <c r="E29" i="6"/>
  <c r="D29" i="6"/>
  <c r="I28" i="6"/>
  <c r="H28" i="6"/>
  <c r="G28" i="6"/>
  <c r="F28" i="6"/>
  <c r="E28" i="6"/>
  <c r="D28" i="6"/>
  <c r="I27" i="6"/>
  <c r="H27" i="6"/>
  <c r="G27" i="6"/>
  <c r="F27" i="6"/>
  <c r="E27" i="6"/>
  <c r="D27" i="6"/>
  <c r="I26" i="6"/>
  <c r="H26" i="6"/>
  <c r="G26" i="6"/>
  <c r="F26" i="6"/>
  <c r="E26" i="6"/>
  <c r="D26" i="6"/>
  <c r="I25" i="6"/>
  <c r="H25" i="6"/>
  <c r="G25" i="6"/>
  <c r="F25" i="6"/>
  <c r="E25" i="6"/>
  <c r="D25" i="6"/>
  <c r="I24" i="6"/>
  <c r="H24" i="6"/>
  <c r="G24" i="6"/>
  <c r="F24" i="6"/>
  <c r="E24" i="6"/>
  <c r="D24" i="6"/>
  <c r="I23" i="6"/>
  <c r="H23" i="6"/>
  <c r="G23" i="6"/>
  <c r="F23" i="6"/>
  <c r="E23" i="6"/>
  <c r="D23" i="6"/>
  <c r="I22" i="6"/>
  <c r="H22" i="6"/>
  <c r="G22" i="6"/>
  <c r="F22" i="6"/>
  <c r="E22" i="6"/>
  <c r="D22" i="6"/>
  <c r="I21" i="6"/>
  <c r="H21" i="6"/>
  <c r="G21" i="6"/>
  <c r="F21" i="6"/>
  <c r="E21" i="6"/>
  <c r="D21" i="6"/>
  <c r="I20" i="6"/>
  <c r="H20" i="6"/>
  <c r="G20" i="6"/>
  <c r="F20" i="6"/>
  <c r="E20" i="6"/>
  <c r="D20" i="6"/>
  <c r="I19" i="6"/>
  <c r="H19" i="6"/>
  <c r="G19" i="6"/>
  <c r="F19" i="6"/>
  <c r="E19" i="6"/>
  <c r="D19" i="6"/>
  <c r="I18" i="6"/>
  <c r="H18" i="6"/>
  <c r="G18" i="6"/>
  <c r="F18" i="6"/>
  <c r="E18" i="6"/>
  <c r="D18" i="6"/>
  <c r="I17" i="6"/>
  <c r="H17" i="6"/>
  <c r="G17" i="6"/>
  <c r="F17" i="6"/>
  <c r="E17" i="6"/>
  <c r="D17" i="6"/>
  <c r="I16" i="6"/>
  <c r="H16" i="6"/>
  <c r="G16" i="6"/>
  <c r="F16" i="6"/>
  <c r="E16" i="6"/>
  <c r="D16" i="6"/>
  <c r="I15" i="6"/>
  <c r="H15" i="6"/>
  <c r="G15" i="6"/>
  <c r="F15" i="6"/>
  <c r="E15" i="6"/>
  <c r="D15" i="6"/>
  <c r="I14" i="6"/>
  <c r="H14" i="6"/>
  <c r="G14" i="6"/>
  <c r="F14" i="6"/>
  <c r="E14" i="6"/>
  <c r="D14" i="6"/>
  <c r="I13" i="6"/>
  <c r="H13" i="6"/>
  <c r="G13" i="6"/>
  <c r="F13" i="6"/>
  <c r="E13" i="6"/>
  <c r="D13" i="6"/>
  <c r="I12" i="6"/>
  <c r="H12" i="6"/>
  <c r="G12" i="6"/>
  <c r="F12" i="6"/>
  <c r="E12" i="6"/>
  <c r="D12" i="6"/>
  <c r="I11" i="6"/>
  <c r="H11" i="6"/>
  <c r="G11" i="6"/>
  <c r="F11" i="6"/>
  <c r="E11" i="6"/>
  <c r="D11" i="6"/>
  <c r="I10" i="6"/>
  <c r="H10" i="6"/>
  <c r="G10" i="6"/>
  <c r="F10" i="6"/>
  <c r="E10" i="6"/>
  <c r="D10" i="6"/>
  <c r="I9" i="6"/>
  <c r="H9" i="6"/>
  <c r="G9" i="6"/>
  <c r="F9" i="6"/>
  <c r="E9" i="6"/>
  <c r="D9" i="6"/>
  <c r="I8" i="6"/>
  <c r="H8" i="6"/>
  <c r="G8" i="6"/>
  <c r="F8" i="6"/>
  <c r="E8" i="6"/>
  <c r="D8" i="6"/>
  <c r="I7" i="6"/>
  <c r="H7" i="6"/>
  <c r="G7" i="6"/>
  <c r="F7" i="6"/>
  <c r="E7" i="6"/>
  <c r="D7" i="6"/>
  <c r="I6" i="6"/>
  <c r="H6" i="6"/>
  <c r="G6" i="6"/>
  <c r="F6" i="6"/>
  <c r="E6" i="6"/>
  <c r="D6" i="6"/>
  <c r="I5" i="6"/>
  <c r="H5" i="6"/>
  <c r="G5" i="6"/>
  <c r="F5" i="6"/>
  <c r="E5" i="6"/>
  <c r="D5" i="6"/>
  <c r="I4" i="6"/>
  <c r="H4" i="6"/>
  <c r="G4" i="6"/>
  <c r="F4" i="6"/>
  <c r="E4" i="6"/>
  <c r="D4" i="6"/>
  <c r="I3" i="6"/>
  <c r="H3" i="6"/>
  <c r="G3" i="6"/>
  <c r="F3" i="6"/>
  <c r="E3" i="6"/>
  <c r="D3" i="6"/>
  <c r="I2" i="6"/>
  <c r="H2" i="6"/>
  <c r="G2" i="6"/>
  <c r="F2" i="6"/>
  <c r="E2" i="6"/>
  <c r="D2" i="6"/>
  <c r="I65" i="4"/>
  <c r="H65" i="4"/>
  <c r="G65" i="4"/>
  <c r="F65" i="4"/>
  <c r="E65" i="4"/>
  <c r="D65" i="4"/>
  <c r="I64" i="4"/>
  <c r="H64" i="4"/>
  <c r="G64" i="4"/>
  <c r="F64" i="4"/>
  <c r="E64" i="4"/>
  <c r="D64" i="4"/>
  <c r="I63" i="4"/>
  <c r="H63" i="4"/>
  <c r="G63" i="4"/>
  <c r="F63" i="4"/>
  <c r="E63" i="4"/>
  <c r="D63" i="4"/>
  <c r="I62" i="4"/>
  <c r="H62" i="4"/>
  <c r="G62" i="4"/>
  <c r="F62" i="4"/>
  <c r="E62" i="4"/>
  <c r="D62" i="4"/>
  <c r="I61" i="4"/>
  <c r="H61" i="4"/>
  <c r="G61" i="4"/>
  <c r="F61" i="4"/>
  <c r="E61" i="4"/>
  <c r="D61" i="4"/>
  <c r="I60" i="4"/>
  <c r="H60" i="4"/>
  <c r="G60" i="4"/>
  <c r="F60" i="4"/>
  <c r="E60" i="4"/>
  <c r="D60" i="4"/>
  <c r="I59" i="4"/>
  <c r="H59" i="4"/>
  <c r="G59" i="4"/>
  <c r="F59" i="4"/>
  <c r="E59" i="4"/>
  <c r="D59" i="4"/>
  <c r="I58" i="4"/>
  <c r="H58" i="4"/>
  <c r="G58" i="4"/>
  <c r="F58" i="4"/>
  <c r="E58" i="4"/>
  <c r="D58" i="4"/>
  <c r="I57" i="4"/>
  <c r="H57" i="4"/>
  <c r="G57" i="4"/>
  <c r="F57" i="4"/>
  <c r="E57" i="4"/>
  <c r="D57" i="4"/>
  <c r="I56" i="4"/>
  <c r="H56" i="4"/>
  <c r="G56" i="4"/>
  <c r="F56" i="4"/>
  <c r="E56" i="4"/>
  <c r="D56" i="4"/>
  <c r="I55" i="4"/>
  <c r="H55" i="4"/>
  <c r="G55" i="4"/>
  <c r="F55" i="4"/>
  <c r="E55" i="4"/>
  <c r="D55" i="4"/>
  <c r="I54" i="4"/>
  <c r="H54" i="4"/>
  <c r="G54" i="4"/>
  <c r="F54" i="4"/>
  <c r="E54" i="4"/>
  <c r="D54" i="4"/>
  <c r="I53" i="4"/>
  <c r="H53" i="4"/>
  <c r="G53" i="4"/>
  <c r="F53" i="4"/>
  <c r="E53" i="4"/>
  <c r="D53" i="4"/>
  <c r="I52" i="4"/>
  <c r="H52" i="4"/>
  <c r="G52" i="4"/>
  <c r="F52" i="4"/>
  <c r="E52" i="4"/>
  <c r="D52" i="4"/>
  <c r="I51" i="4"/>
  <c r="H51" i="4"/>
  <c r="G51" i="4"/>
  <c r="F51" i="4"/>
  <c r="E51" i="4"/>
  <c r="D51" i="4"/>
  <c r="I50" i="4"/>
  <c r="H50" i="4"/>
  <c r="G50" i="4"/>
  <c r="F50" i="4"/>
  <c r="E50" i="4"/>
  <c r="D50" i="4"/>
  <c r="I49" i="4"/>
  <c r="H49" i="4"/>
  <c r="G49" i="4"/>
  <c r="F49" i="4"/>
  <c r="E49" i="4"/>
  <c r="D49" i="4"/>
  <c r="I48" i="4"/>
  <c r="H48" i="4"/>
  <c r="G48" i="4"/>
  <c r="F48" i="4"/>
  <c r="E48" i="4"/>
  <c r="D48" i="4"/>
  <c r="I47" i="4"/>
  <c r="H47" i="4"/>
  <c r="G47" i="4"/>
  <c r="F47" i="4"/>
  <c r="E47" i="4"/>
  <c r="D47" i="4"/>
  <c r="I46" i="4"/>
  <c r="H46" i="4"/>
  <c r="G46" i="4"/>
  <c r="F46" i="4"/>
  <c r="E46" i="4"/>
  <c r="D46" i="4"/>
  <c r="I45" i="4"/>
  <c r="H45" i="4"/>
  <c r="G45" i="4"/>
  <c r="F45" i="4"/>
  <c r="E45" i="4"/>
  <c r="D45" i="4"/>
  <c r="I44" i="4"/>
  <c r="H44" i="4"/>
  <c r="G44" i="4"/>
  <c r="F44" i="4"/>
  <c r="E44" i="4"/>
  <c r="D44" i="4"/>
  <c r="I43" i="4"/>
  <c r="H43" i="4"/>
  <c r="G43" i="4"/>
  <c r="F43" i="4"/>
  <c r="E43" i="4"/>
  <c r="D43" i="4"/>
  <c r="I42" i="4"/>
  <c r="H42" i="4"/>
  <c r="G42" i="4"/>
  <c r="F42" i="4"/>
  <c r="E42" i="4"/>
  <c r="D42" i="4"/>
  <c r="I41" i="4"/>
  <c r="H41" i="4"/>
  <c r="G41" i="4"/>
  <c r="F41" i="4"/>
  <c r="E41" i="4"/>
  <c r="D41" i="4"/>
  <c r="I40" i="4"/>
  <c r="H40" i="4"/>
  <c r="G40" i="4"/>
  <c r="F40" i="4"/>
  <c r="E40" i="4"/>
  <c r="D40" i="4"/>
  <c r="I39" i="4"/>
  <c r="H39" i="4"/>
  <c r="G39" i="4"/>
  <c r="F39" i="4"/>
  <c r="E39" i="4"/>
  <c r="D39" i="4"/>
  <c r="I38" i="4"/>
  <c r="H38" i="4"/>
  <c r="G38" i="4"/>
  <c r="F38" i="4"/>
  <c r="E38" i="4"/>
  <c r="D38" i="4"/>
  <c r="I37" i="4"/>
  <c r="H37" i="4"/>
  <c r="G37" i="4"/>
  <c r="F37" i="4"/>
  <c r="E37" i="4"/>
  <c r="D37" i="4"/>
  <c r="I36" i="4"/>
  <c r="H36" i="4"/>
  <c r="G36" i="4"/>
  <c r="F36" i="4"/>
  <c r="E36" i="4"/>
  <c r="D36" i="4"/>
  <c r="I35" i="4"/>
  <c r="H35" i="4"/>
  <c r="G35" i="4"/>
  <c r="F35" i="4"/>
  <c r="E35" i="4"/>
  <c r="D35" i="4"/>
  <c r="I34" i="4"/>
  <c r="H34" i="4"/>
  <c r="G34" i="4"/>
  <c r="F34" i="4"/>
  <c r="E34" i="4"/>
  <c r="D34" i="4"/>
  <c r="I33" i="4"/>
  <c r="H33" i="4"/>
  <c r="G33" i="4"/>
  <c r="F33" i="4"/>
  <c r="E33" i="4"/>
  <c r="D33" i="4"/>
  <c r="I32" i="4"/>
  <c r="H32" i="4"/>
  <c r="G32" i="4"/>
  <c r="F32" i="4"/>
  <c r="E32" i="4"/>
  <c r="D32" i="4"/>
  <c r="I31" i="4"/>
  <c r="H31" i="4"/>
  <c r="G31" i="4"/>
  <c r="F31" i="4"/>
  <c r="E31" i="4"/>
  <c r="D31" i="4"/>
  <c r="I30" i="4"/>
  <c r="H30" i="4"/>
  <c r="G30" i="4"/>
  <c r="F30" i="4"/>
  <c r="E30" i="4"/>
  <c r="D30" i="4"/>
  <c r="I29" i="4"/>
  <c r="H29" i="4"/>
  <c r="G29" i="4"/>
  <c r="F29" i="4"/>
  <c r="E29" i="4"/>
  <c r="D29" i="4"/>
  <c r="I28" i="4"/>
  <c r="H28" i="4"/>
  <c r="G28" i="4"/>
  <c r="F28" i="4"/>
  <c r="E28" i="4"/>
  <c r="D28" i="4"/>
  <c r="I27" i="4"/>
  <c r="H27" i="4"/>
  <c r="G27" i="4"/>
  <c r="F27" i="4"/>
  <c r="E27" i="4"/>
  <c r="D27" i="4"/>
  <c r="I26" i="4"/>
  <c r="H26" i="4"/>
  <c r="G26" i="4"/>
  <c r="F26" i="4"/>
  <c r="E26" i="4"/>
  <c r="D26" i="4"/>
  <c r="I25" i="4"/>
  <c r="H25" i="4"/>
  <c r="G25" i="4"/>
  <c r="F25" i="4"/>
  <c r="E25" i="4"/>
  <c r="D25" i="4"/>
  <c r="I24" i="4"/>
  <c r="H24" i="4"/>
  <c r="G24" i="4"/>
  <c r="F24" i="4"/>
  <c r="E24" i="4"/>
  <c r="D24" i="4"/>
  <c r="I23" i="4"/>
  <c r="H23" i="4"/>
  <c r="G23" i="4"/>
  <c r="F23" i="4"/>
  <c r="E23" i="4"/>
  <c r="D23" i="4"/>
  <c r="I22" i="4"/>
  <c r="H22" i="4"/>
  <c r="G22" i="4"/>
  <c r="F22" i="4"/>
  <c r="E22" i="4"/>
  <c r="D22" i="4"/>
  <c r="I21" i="4"/>
  <c r="H21" i="4"/>
  <c r="G21" i="4"/>
  <c r="F21" i="4"/>
  <c r="E21" i="4"/>
  <c r="D21" i="4"/>
  <c r="I20" i="4"/>
  <c r="H20" i="4"/>
  <c r="G20" i="4"/>
  <c r="F20" i="4"/>
  <c r="E20" i="4"/>
  <c r="D20" i="4"/>
  <c r="I19" i="4"/>
  <c r="H19" i="4"/>
  <c r="G19" i="4"/>
  <c r="F19" i="4"/>
  <c r="E19" i="4"/>
  <c r="D19" i="4"/>
  <c r="I18" i="4"/>
  <c r="H18" i="4"/>
  <c r="G18" i="4"/>
  <c r="F18" i="4"/>
  <c r="E18" i="4"/>
  <c r="D18" i="4"/>
  <c r="I17" i="4"/>
  <c r="H17" i="4"/>
  <c r="G17" i="4"/>
  <c r="F17" i="4"/>
  <c r="E17" i="4"/>
  <c r="D17" i="4"/>
  <c r="I16" i="4"/>
  <c r="H16" i="4"/>
  <c r="G16" i="4"/>
  <c r="F16" i="4"/>
  <c r="E16" i="4"/>
  <c r="D16" i="4"/>
  <c r="I15" i="4"/>
  <c r="H15" i="4"/>
  <c r="G15" i="4"/>
  <c r="F15" i="4"/>
  <c r="E15" i="4"/>
  <c r="D15" i="4"/>
  <c r="I14" i="4"/>
  <c r="H14" i="4"/>
  <c r="G14" i="4"/>
  <c r="F14" i="4"/>
  <c r="E14" i="4"/>
  <c r="D14" i="4"/>
  <c r="I13" i="4"/>
  <c r="H13" i="4"/>
  <c r="G13" i="4"/>
  <c r="F13" i="4"/>
  <c r="E13" i="4"/>
  <c r="D13" i="4"/>
  <c r="I12" i="4"/>
  <c r="H12" i="4"/>
  <c r="G12" i="4"/>
  <c r="F12" i="4"/>
  <c r="E12" i="4"/>
  <c r="D12" i="4"/>
  <c r="I11" i="4"/>
  <c r="H11" i="4"/>
  <c r="G11" i="4"/>
  <c r="F11" i="4"/>
  <c r="E11" i="4"/>
  <c r="D11" i="4"/>
  <c r="I10" i="4"/>
  <c r="H10" i="4"/>
  <c r="G10" i="4"/>
  <c r="F10" i="4"/>
  <c r="E10" i="4"/>
  <c r="D10" i="4"/>
  <c r="I9" i="4"/>
  <c r="H9" i="4"/>
  <c r="G9" i="4"/>
  <c r="F9" i="4"/>
  <c r="E9" i="4"/>
  <c r="D9" i="4"/>
  <c r="I8" i="4"/>
  <c r="H8" i="4"/>
  <c r="G8" i="4"/>
  <c r="F8" i="4"/>
  <c r="E8" i="4"/>
  <c r="D8" i="4"/>
  <c r="I7" i="4"/>
  <c r="H7" i="4"/>
  <c r="G7" i="4"/>
  <c r="F7" i="4"/>
  <c r="E7" i="4"/>
  <c r="D7" i="4"/>
  <c r="I6" i="4"/>
  <c r="H6" i="4"/>
  <c r="G6" i="4"/>
  <c r="F6" i="4"/>
  <c r="E6" i="4"/>
  <c r="D6" i="4"/>
  <c r="I5" i="4"/>
  <c r="H5" i="4"/>
  <c r="G5" i="4"/>
  <c r="F5" i="4"/>
  <c r="E5" i="4"/>
  <c r="D5" i="4"/>
  <c r="I4" i="4"/>
  <c r="H4" i="4"/>
  <c r="G4" i="4"/>
  <c r="F4" i="4"/>
  <c r="E4" i="4"/>
  <c r="D4" i="4"/>
  <c r="I3" i="4"/>
  <c r="H3" i="4"/>
  <c r="G3" i="4"/>
  <c r="F3" i="4"/>
  <c r="E3" i="4"/>
  <c r="D3" i="4"/>
  <c r="I2" i="4"/>
  <c r="H2" i="4"/>
  <c r="G2" i="4"/>
  <c r="F2" i="4"/>
  <c r="E2" i="4"/>
  <c r="D2" i="4"/>
  <c r="I65" i="2"/>
  <c r="H65" i="2"/>
  <c r="G65" i="2"/>
  <c r="F65" i="2"/>
  <c r="E65" i="2"/>
  <c r="D65" i="2"/>
  <c r="I64" i="2"/>
  <c r="H64" i="2"/>
  <c r="G64" i="2"/>
  <c r="F64" i="2"/>
  <c r="E64" i="2"/>
  <c r="D64" i="2"/>
  <c r="I63" i="2"/>
  <c r="H63" i="2"/>
  <c r="G63" i="2"/>
  <c r="F63" i="2"/>
  <c r="E63" i="2"/>
  <c r="D63" i="2"/>
  <c r="I62" i="2"/>
  <c r="H62" i="2"/>
  <c r="G62" i="2"/>
  <c r="F62" i="2"/>
  <c r="E62" i="2"/>
  <c r="D62" i="2"/>
  <c r="I61" i="2"/>
  <c r="H61" i="2"/>
  <c r="G61" i="2"/>
  <c r="F61" i="2"/>
  <c r="E61" i="2"/>
  <c r="D61" i="2"/>
  <c r="I60" i="2"/>
  <c r="H60" i="2"/>
  <c r="G60" i="2"/>
  <c r="F60" i="2"/>
  <c r="E60" i="2"/>
  <c r="D60" i="2"/>
  <c r="I59" i="2"/>
  <c r="H59" i="2"/>
  <c r="G59" i="2"/>
  <c r="F59" i="2"/>
  <c r="E59" i="2"/>
  <c r="D59" i="2"/>
  <c r="I58" i="2"/>
  <c r="H58" i="2"/>
  <c r="G58" i="2"/>
  <c r="F58" i="2"/>
  <c r="E58" i="2"/>
  <c r="D58" i="2"/>
  <c r="I57" i="2"/>
  <c r="H57" i="2"/>
  <c r="G57" i="2"/>
  <c r="F57" i="2"/>
  <c r="E57" i="2"/>
  <c r="D57" i="2"/>
  <c r="I56" i="2"/>
  <c r="H56" i="2"/>
  <c r="G56" i="2"/>
  <c r="F56" i="2"/>
  <c r="E56" i="2"/>
  <c r="D56" i="2"/>
  <c r="I55" i="2"/>
  <c r="H55" i="2"/>
  <c r="G55" i="2"/>
  <c r="F55" i="2"/>
  <c r="E55" i="2"/>
  <c r="D55" i="2"/>
  <c r="I54" i="2"/>
  <c r="H54" i="2"/>
  <c r="G54" i="2"/>
  <c r="F54" i="2"/>
  <c r="E54" i="2"/>
  <c r="D54" i="2"/>
  <c r="I53" i="2"/>
  <c r="H53" i="2"/>
  <c r="G53" i="2"/>
  <c r="F53" i="2"/>
  <c r="E53" i="2"/>
  <c r="D53" i="2"/>
  <c r="I52" i="2"/>
  <c r="H52" i="2"/>
  <c r="G52" i="2"/>
  <c r="F52" i="2"/>
  <c r="E52" i="2"/>
  <c r="D52" i="2"/>
  <c r="I51" i="2"/>
  <c r="H51" i="2"/>
  <c r="G51" i="2"/>
  <c r="F51" i="2"/>
  <c r="E51" i="2"/>
  <c r="D51" i="2"/>
  <c r="I50" i="2"/>
  <c r="H50" i="2"/>
  <c r="G50" i="2"/>
  <c r="F50" i="2"/>
  <c r="E50" i="2"/>
  <c r="D50" i="2"/>
  <c r="I49" i="2"/>
  <c r="H49" i="2"/>
  <c r="G49" i="2"/>
  <c r="F49" i="2"/>
  <c r="E49" i="2"/>
  <c r="D49" i="2"/>
  <c r="I48" i="2"/>
  <c r="H48" i="2"/>
  <c r="G48" i="2"/>
  <c r="F48" i="2"/>
  <c r="E48" i="2"/>
  <c r="D48" i="2"/>
  <c r="I47" i="2"/>
  <c r="H47" i="2"/>
  <c r="G47" i="2"/>
  <c r="F47" i="2"/>
  <c r="E47" i="2"/>
  <c r="D47" i="2"/>
  <c r="I46" i="2"/>
  <c r="H46" i="2"/>
  <c r="G46" i="2"/>
  <c r="F46" i="2"/>
  <c r="E46" i="2"/>
  <c r="D46" i="2"/>
  <c r="I45" i="2"/>
  <c r="H45" i="2"/>
  <c r="G45" i="2"/>
  <c r="F45" i="2"/>
  <c r="E45" i="2"/>
  <c r="D45" i="2"/>
  <c r="I44" i="2"/>
  <c r="H44" i="2"/>
  <c r="G44" i="2"/>
  <c r="F44" i="2"/>
  <c r="E44" i="2"/>
  <c r="D44" i="2"/>
  <c r="I43" i="2"/>
  <c r="H43" i="2"/>
  <c r="G43" i="2"/>
  <c r="F43" i="2"/>
  <c r="E43" i="2"/>
  <c r="D43" i="2"/>
  <c r="I42" i="2"/>
  <c r="H42" i="2"/>
  <c r="G42" i="2"/>
  <c r="F42" i="2"/>
  <c r="E42" i="2"/>
  <c r="D42" i="2"/>
  <c r="I41" i="2"/>
  <c r="H41" i="2"/>
  <c r="G41" i="2"/>
  <c r="F41" i="2"/>
  <c r="E41" i="2"/>
  <c r="D41" i="2"/>
  <c r="I40" i="2"/>
  <c r="H40" i="2"/>
  <c r="G40" i="2"/>
  <c r="F40" i="2"/>
  <c r="E40" i="2"/>
  <c r="D40" i="2"/>
  <c r="I39" i="2"/>
  <c r="H39" i="2"/>
  <c r="G39" i="2"/>
  <c r="F39" i="2"/>
  <c r="E39" i="2"/>
  <c r="D39" i="2"/>
  <c r="I38" i="2"/>
  <c r="H38" i="2"/>
  <c r="G38" i="2"/>
  <c r="F38" i="2"/>
  <c r="E38" i="2"/>
  <c r="D38" i="2"/>
  <c r="I37" i="2"/>
  <c r="H37" i="2"/>
  <c r="G37" i="2"/>
  <c r="F37" i="2"/>
  <c r="E37" i="2"/>
  <c r="D37" i="2"/>
  <c r="I36" i="2"/>
  <c r="H36" i="2"/>
  <c r="G36" i="2"/>
  <c r="F36" i="2"/>
  <c r="E36" i="2"/>
  <c r="D36" i="2"/>
  <c r="I35" i="2"/>
  <c r="H35" i="2"/>
  <c r="G35" i="2"/>
  <c r="F35" i="2"/>
  <c r="E35" i="2"/>
  <c r="D35" i="2"/>
  <c r="I34" i="2"/>
  <c r="H34" i="2"/>
  <c r="G34" i="2"/>
  <c r="F34" i="2"/>
  <c r="E34" i="2"/>
  <c r="D34" i="2"/>
  <c r="I33" i="2"/>
  <c r="H33" i="2"/>
  <c r="G33" i="2"/>
  <c r="F33" i="2"/>
  <c r="E33" i="2"/>
  <c r="D33" i="2"/>
  <c r="I32" i="2"/>
  <c r="H32" i="2"/>
  <c r="G32" i="2"/>
  <c r="F32" i="2"/>
  <c r="E32" i="2"/>
  <c r="D32" i="2"/>
  <c r="I31" i="2"/>
  <c r="H31" i="2"/>
  <c r="G31" i="2"/>
  <c r="F31" i="2"/>
  <c r="E31" i="2"/>
  <c r="D31" i="2"/>
  <c r="I30" i="2"/>
  <c r="H30" i="2"/>
  <c r="G30" i="2"/>
  <c r="F30" i="2"/>
  <c r="E30" i="2"/>
  <c r="D30" i="2"/>
  <c r="I29" i="2"/>
  <c r="H29" i="2"/>
  <c r="G29" i="2"/>
  <c r="F29" i="2"/>
  <c r="E29" i="2"/>
  <c r="D29" i="2"/>
  <c r="I28" i="2"/>
  <c r="H28" i="2"/>
  <c r="G28" i="2"/>
  <c r="F28" i="2"/>
  <c r="E28" i="2"/>
  <c r="D28" i="2"/>
  <c r="I27" i="2"/>
  <c r="H27" i="2"/>
  <c r="G27" i="2"/>
  <c r="F27" i="2"/>
  <c r="E27" i="2"/>
  <c r="D27" i="2"/>
  <c r="I26" i="2"/>
  <c r="H26" i="2"/>
  <c r="G26" i="2"/>
  <c r="F26" i="2"/>
  <c r="E26" i="2"/>
  <c r="D26" i="2"/>
  <c r="I25" i="2"/>
  <c r="H25" i="2"/>
  <c r="G25" i="2"/>
  <c r="F25" i="2"/>
  <c r="E25" i="2"/>
  <c r="D25" i="2"/>
  <c r="I24" i="2"/>
  <c r="H24" i="2"/>
  <c r="G24" i="2"/>
  <c r="F24" i="2"/>
  <c r="E24" i="2"/>
  <c r="D24" i="2"/>
  <c r="I23" i="2"/>
  <c r="H23" i="2"/>
  <c r="G23" i="2"/>
  <c r="F23" i="2"/>
  <c r="E23" i="2"/>
  <c r="D23" i="2"/>
  <c r="I22" i="2"/>
  <c r="H22" i="2"/>
  <c r="G22" i="2"/>
  <c r="F22" i="2"/>
  <c r="E22" i="2"/>
  <c r="D22" i="2"/>
  <c r="I21" i="2"/>
  <c r="H21" i="2"/>
  <c r="G21" i="2"/>
  <c r="F21" i="2"/>
  <c r="E21" i="2"/>
  <c r="D21" i="2"/>
  <c r="I20" i="2"/>
  <c r="H20" i="2"/>
  <c r="G20" i="2"/>
  <c r="F20" i="2"/>
  <c r="E20" i="2"/>
  <c r="D20" i="2"/>
  <c r="I19" i="2"/>
  <c r="H19" i="2"/>
  <c r="G19" i="2"/>
  <c r="F19" i="2"/>
  <c r="E19" i="2"/>
  <c r="D19" i="2"/>
  <c r="I18" i="2"/>
  <c r="H18" i="2"/>
  <c r="G18" i="2"/>
  <c r="F18" i="2"/>
  <c r="E18" i="2"/>
  <c r="D18" i="2"/>
  <c r="I17" i="2"/>
  <c r="H17" i="2"/>
  <c r="G17" i="2"/>
  <c r="F17" i="2"/>
  <c r="E17" i="2"/>
  <c r="D17" i="2"/>
  <c r="I16" i="2"/>
  <c r="H16" i="2"/>
  <c r="G16" i="2"/>
  <c r="F16" i="2"/>
  <c r="E16" i="2"/>
  <c r="D16" i="2"/>
  <c r="I15" i="2"/>
  <c r="H15" i="2"/>
  <c r="G15" i="2"/>
  <c r="F15" i="2"/>
  <c r="E15" i="2"/>
  <c r="D15" i="2"/>
  <c r="I14" i="2"/>
  <c r="H14" i="2"/>
  <c r="G14" i="2"/>
  <c r="F14" i="2"/>
  <c r="E14" i="2"/>
  <c r="D14" i="2"/>
  <c r="I13" i="2"/>
  <c r="H13" i="2"/>
  <c r="G13" i="2"/>
  <c r="F13" i="2"/>
  <c r="E13" i="2"/>
  <c r="D13" i="2"/>
  <c r="I12" i="2"/>
  <c r="H12" i="2"/>
  <c r="G12" i="2"/>
  <c r="F12" i="2"/>
  <c r="E12" i="2"/>
  <c r="D12" i="2"/>
  <c r="I11" i="2"/>
  <c r="H11" i="2"/>
  <c r="G11" i="2"/>
  <c r="F11" i="2"/>
  <c r="E11" i="2"/>
  <c r="D11" i="2"/>
  <c r="I10" i="2"/>
  <c r="H10" i="2"/>
  <c r="G10" i="2"/>
  <c r="F10" i="2"/>
  <c r="E10" i="2"/>
  <c r="D10" i="2"/>
  <c r="I9" i="2"/>
  <c r="H9" i="2"/>
  <c r="G9" i="2"/>
  <c r="F9" i="2"/>
  <c r="E9" i="2"/>
  <c r="D9" i="2"/>
  <c r="I8" i="2"/>
  <c r="H8" i="2"/>
  <c r="G8" i="2"/>
  <c r="F8" i="2"/>
  <c r="E8" i="2"/>
  <c r="D8" i="2"/>
  <c r="I7" i="2"/>
  <c r="H7" i="2"/>
  <c r="G7" i="2"/>
  <c r="F7" i="2"/>
  <c r="E7" i="2"/>
  <c r="D7" i="2"/>
  <c r="I6" i="2"/>
  <c r="H6" i="2"/>
  <c r="G6" i="2"/>
  <c r="F6" i="2"/>
  <c r="E6" i="2"/>
  <c r="D6" i="2"/>
  <c r="I5" i="2"/>
  <c r="H5" i="2"/>
  <c r="G5" i="2"/>
  <c r="F5" i="2"/>
  <c r="E5" i="2"/>
  <c r="D5" i="2"/>
  <c r="I4" i="2"/>
  <c r="H4" i="2"/>
  <c r="G4" i="2"/>
  <c r="F4" i="2"/>
  <c r="E4" i="2"/>
  <c r="D4" i="2"/>
  <c r="I3" i="2"/>
  <c r="H3" i="2"/>
  <c r="G3" i="2"/>
  <c r="F3" i="2"/>
  <c r="E3" i="2"/>
  <c r="D3" i="2"/>
  <c r="I2" i="2"/>
  <c r="H2" i="2"/>
  <c r="G2" i="2"/>
  <c r="F2" i="2"/>
  <c r="E2" i="2"/>
  <c r="D2" i="2"/>
  <c r="I49" i="12"/>
  <c r="H49" i="12"/>
  <c r="G49" i="12"/>
  <c r="F49" i="12"/>
  <c r="E49" i="12"/>
  <c r="D49" i="12"/>
  <c r="I48" i="12"/>
  <c r="H48" i="12"/>
  <c r="G48" i="12"/>
  <c r="F48" i="12"/>
  <c r="E48" i="12"/>
  <c r="D48" i="12"/>
  <c r="I47" i="12"/>
  <c r="H47" i="12"/>
  <c r="G47" i="12"/>
  <c r="F47" i="12"/>
  <c r="E47" i="12"/>
  <c r="D47" i="12"/>
  <c r="I46" i="12"/>
  <c r="H46" i="12"/>
  <c r="G46" i="12"/>
  <c r="F46" i="12"/>
  <c r="E46" i="12"/>
  <c r="D46" i="12"/>
  <c r="I45" i="12"/>
  <c r="H45" i="12"/>
  <c r="G45" i="12"/>
  <c r="F45" i="12"/>
  <c r="E45" i="12"/>
  <c r="D45" i="12"/>
  <c r="I44" i="12"/>
  <c r="H44" i="12"/>
  <c r="G44" i="12"/>
  <c r="F44" i="12"/>
  <c r="E44" i="12"/>
  <c r="D44" i="12"/>
  <c r="I43" i="12"/>
  <c r="H43" i="12"/>
  <c r="G43" i="12"/>
  <c r="F43" i="12"/>
  <c r="E43" i="12"/>
  <c r="D43" i="12"/>
  <c r="I42" i="12"/>
  <c r="H42" i="12"/>
  <c r="G42" i="12"/>
  <c r="F42" i="12"/>
  <c r="E42" i="12"/>
  <c r="D42" i="12"/>
  <c r="I41" i="12"/>
  <c r="H41" i="12"/>
  <c r="G41" i="12"/>
  <c r="F41" i="12"/>
  <c r="E41" i="12"/>
  <c r="D41" i="12"/>
  <c r="I40" i="12"/>
  <c r="H40" i="12"/>
  <c r="G40" i="12"/>
  <c r="F40" i="12"/>
  <c r="E40" i="12"/>
  <c r="D40" i="12"/>
  <c r="I39" i="12"/>
  <c r="H39" i="12"/>
  <c r="G39" i="12"/>
  <c r="F39" i="12"/>
  <c r="E39" i="12"/>
  <c r="D39" i="12"/>
  <c r="I38" i="12"/>
  <c r="H38" i="12"/>
  <c r="G38" i="12"/>
  <c r="F38" i="12"/>
  <c r="E38" i="12"/>
  <c r="D38" i="12"/>
  <c r="I37" i="12"/>
  <c r="H37" i="12"/>
  <c r="G37" i="12"/>
  <c r="F37" i="12"/>
  <c r="E37" i="12"/>
  <c r="D37" i="12"/>
  <c r="I36" i="12"/>
  <c r="H36" i="12"/>
  <c r="G36" i="12"/>
  <c r="F36" i="12"/>
  <c r="E36" i="12"/>
  <c r="D36" i="12"/>
  <c r="I35" i="12"/>
  <c r="H35" i="12"/>
  <c r="G35" i="12"/>
  <c r="F35" i="12"/>
  <c r="E35" i="12"/>
  <c r="D35" i="12"/>
  <c r="I34" i="12"/>
  <c r="H34" i="12"/>
  <c r="G34" i="12"/>
  <c r="F34" i="12"/>
  <c r="E34" i="12"/>
  <c r="D34" i="12"/>
  <c r="I33" i="12"/>
  <c r="H33" i="12"/>
  <c r="G33" i="12"/>
  <c r="F33" i="12"/>
  <c r="E33" i="12"/>
  <c r="D33" i="12"/>
  <c r="I32" i="12"/>
  <c r="H32" i="12"/>
  <c r="G32" i="12"/>
  <c r="F32" i="12"/>
  <c r="E32" i="12"/>
  <c r="D32" i="12"/>
  <c r="I31" i="12"/>
  <c r="H31" i="12"/>
  <c r="G31" i="12"/>
  <c r="F31" i="12"/>
  <c r="E31" i="12"/>
  <c r="D31" i="12"/>
  <c r="I30" i="12"/>
  <c r="H30" i="12"/>
  <c r="G30" i="12"/>
  <c r="F30" i="12"/>
  <c r="E30" i="12"/>
  <c r="D30" i="12"/>
  <c r="I29" i="12"/>
  <c r="H29" i="12"/>
  <c r="G29" i="12"/>
  <c r="F29" i="12"/>
  <c r="E29" i="12"/>
  <c r="D29" i="12"/>
  <c r="I28" i="12"/>
  <c r="H28" i="12"/>
  <c r="G28" i="12"/>
  <c r="F28" i="12"/>
  <c r="E28" i="12"/>
  <c r="D28" i="12"/>
  <c r="I27" i="12"/>
  <c r="H27" i="12"/>
  <c r="G27" i="12"/>
  <c r="F27" i="12"/>
  <c r="E27" i="12"/>
  <c r="D27" i="12"/>
  <c r="I26" i="12"/>
  <c r="H26" i="12"/>
  <c r="G26" i="12"/>
  <c r="F26" i="12"/>
  <c r="E26" i="12"/>
  <c r="D26" i="12"/>
  <c r="I25" i="12"/>
  <c r="H25" i="12"/>
  <c r="G25" i="12"/>
  <c r="F25" i="12"/>
  <c r="E25" i="12"/>
  <c r="D25" i="12"/>
  <c r="I24" i="12"/>
  <c r="H24" i="12"/>
  <c r="G24" i="12"/>
  <c r="F24" i="12"/>
  <c r="E24" i="12"/>
  <c r="D24" i="12"/>
  <c r="I23" i="12"/>
  <c r="H23" i="12"/>
  <c r="G23" i="12"/>
  <c r="F23" i="12"/>
  <c r="E23" i="12"/>
  <c r="D23" i="12"/>
  <c r="I22" i="12"/>
  <c r="H22" i="12"/>
  <c r="G22" i="12"/>
  <c r="F22" i="12"/>
  <c r="E22" i="12"/>
  <c r="D22" i="12"/>
  <c r="I21" i="12"/>
  <c r="H21" i="12"/>
  <c r="G21" i="12"/>
  <c r="F21" i="12"/>
  <c r="E21" i="12"/>
  <c r="D21" i="12"/>
  <c r="I20" i="12"/>
  <c r="H20" i="12"/>
  <c r="G20" i="12"/>
  <c r="F20" i="12"/>
  <c r="E20" i="12"/>
  <c r="D20" i="12"/>
  <c r="I19" i="12"/>
  <c r="H19" i="12"/>
  <c r="G19" i="12"/>
  <c r="F19" i="12"/>
  <c r="E19" i="12"/>
  <c r="D19" i="12"/>
  <c r="I18" i="12"/>
  <c r="H18" i="12"/>
  <c r="G18" i="12"/>
  <c r="F18" i="12"/>
  <c r="E18" i="12"/>
  <c r="D18" i="12"/>
  <c r="I17" i="12"/>
  <c r="H17" i="12"/>
  <c r="G17" i="12"/>
  <c r="F17" i="12"/>
  <c r="E17" i="12"/>
  <c r="D17" i="12"/>
  <c r="I16" i="12"/>
  <c r="H16" i="12"/>
  <c r="G16" i="12"/>
  <c r="F16" i="12"/>
  <c r="E16" i="12"/>
  <c r="D16" i="12"/>
  <c r="I15" i="12"/>
  <c r="H15" i="12"/>
  <c r="G15" i="12"/>
  <c r="F15" i="12"/>
  <c r="E15" i="12"/>
  <c r="D15" i="12"/>
  <c r="I14" i="12"/>
  <c r="H14" i="12"/>
  <c r="G14" i="12"/>
  <c r="F14" i="12"/>
  <c r="E14" i="12"/>
  <c r="D14" i="12"/>
  <c r="I13" i="12"/>
  <c r="H13" i="12"/>
  <c r="G13" i="12"/>
  <c r="F13" i="12"/>
  <c r="E13" i="12"/>
  <c r="D13" i="12"/>
  <c r="I12" i="12"/>
  <c r="H12" i="12"/>
  <c r="G12" i="12"/>
  <c r="F12" i="12"/>
  <c r="E12" i="12"/>
  <c r="D12" i="12"/>
  <c r="I11" i="12"/>
  <c r="H11" i="12"/>
  <c r="G11" i="12"/>
  <c r="F11" i="12"/>
  <c r="E11" i="12"/>
  <c r="D11" i="12"/>
  <c r="I10" i="12"/>
  <c r="H10" i="12"/>
  <c r="G10" i="12"/>
  <c r="F10" i="12"/>
  <c r="E10" i="12"/>
  <c r="D10" i="12"/>
  <c r="I9" i="12"/>
  <c r="H9" i="12"/>
  <c r="G9" i="12"/>
  <c r="F9" i="12"/>
  <c r="E9" i="12"/>
  <c r="D9" i="12"/>
  <c r="I8" i="12"/>
  <c r="H8" i="12"/>
  <c r="G8" i="12"/>
  <c r="F8" i="12"/>
  <c r="E8" i="12"/>
  <c r="D8" i="12"/>
  <c r="I7" i="12"/>
  <c r="H7" i="12"/>
  <c r="G7" i="12"/>
  <c r="F7" i="12"/>
  <c r="E7" i="12"/>
  <c r="D7" i="12"/>
  <c r="I6" i="12"/>
  <c r="H6" i="12"/>
  <c r="G6" i="12"/>
  <c r="F6" i="12"/>
  <c r="E6" i="12"/>
  <c r="D6" i="12"/>
  <c r="I5" i="12"/>
  <c r="H5" i="12"/>
  <c r="G5" i="12"/>
  <c r="F5" i="12"/>
  <c r="E5" i="12"/>
  <c r="D5" i="12"/>
  <c r="I4" i="12"/>
  <c r="H4" i="12"/>
  <c r="G4" i="12"/>
  <c r="F4" i="12"/>
  <c r="E4" i="12"/>
  <c r="D4" i="12"/>
  <c r="I3" i="12"/>
  <c r="H3" i="12"/>
  <c r="G3" i="12"/>
  <c r="F3" i="12"/>
  <c r="E3" i="12"/>
  <c r="D3" i="12"/>
  <c r="I2" i="12"/>
  <c r="H2" i="12"/>
  <c r="G2" i="12"/>
  <c r="F2" i="12"/>
  <c r="E2" i="12"/>
  <c r="D2" i="12"/>
</calcChain>
</file>

<file path=xl/sharedStrings.xml><?xml version="1.0" encoding="utf-8"?>
<sst xmlns="http://schemas.openxmlformats.org/spreadsheetml/2006/main" count="824" uniqueCount="33">
  <si>
    <t>frequency_mhz</t>
  </si>
  <si>
    <t>placement</t>
  </si>
  <si>
    <t>Input Power (mW)</t>
  </si>
  <si>
    <t>SAR_wholebody (mW/kg)</t>
  </si>
  <si>
    <t>SAR_head (mW/kg)</t>
  </si>
  <si>
    <t>SAR_trunk (mW/kg)</t>
  </si>
  <si>
    <t>psSAR10g_eyes (mW/kg)</t>
  </si>
  <si>
    <t>psSAR10g_skin (mW/kg)</t>
  </si>
  <si>
    <t>psSAR10g_brain (mW/kg)</t>
  </si>
  <si>
    <t>front_of_eyes_center_horizontal</t>
  </si>
  <si>
    <t>front_of_eyes_center_vertical</t>
  </si>
  <si>
    <t>front_of_eyes_down_horizontal</t>
  </si>
  <si>
    <t>front_of_eyes_down_vertical</t>
  </si>
  <si>
    <t>front_of_eyes_left_horizontal</t>
  </si>
  <si>
    <t>front_of_eyes_left_vertical</t>
  </si>
  <si>
    <t>front_of_eyes_right_horizontal</t>
  </si>
  <si>
    <t>front_of_eyes_right_vertical</t>
  </si>
  <si>
    <t>Input Power (W)</t>
  </si>
  <si>
    <t>belly_level_center_horizontal</t>
  </si>
  <si>
    <t>belly_level_center_vertical</t>
  </si>
  <si>
    <t>belly_level_left_horizontal</t>
  </si>
  <si>
    <t>belly_level_left_vertical</t>
  </si>
  <si>
    <t>belly_level_right_horizontal</t>
  </si>
  <si>
    <t>belly_level_right_vertical</t>
  </si>
  <si>
    <t>belly_level_up_horizontal</t>
  </si>
  <si>
    <t>belly_level_up_vertical</t>
  </si>
  <si>
    <t>cheek_1</t>
  </si>
  <si>
    <t>cheek_2</t>
  </si>
  <si>
    <t>cheek_3</t>
  </si>
  <si>
    <t>tilt_1</t>
  </si>
  <si>
    <t>tilt_2</t>
  </si>
  <si>
    <t>tilt_3</t>
  </si>
  <si>
    <t>SAR_brain (mW/kg)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</si>
</sst>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DDEEFF"/>
        <bgColor rgb="FFCCFFFF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48576" totalsRowShown="0">
  <autoFilter ref="A1:J1048576" xr:uid="{00000000-0009-0000-0100-000001000000}"/>
  <tableColumns count="10">
    <tableColumn id="1" xr3:uid="{00000000-0010-0000-0000-000001000000}" name="frequency_mhz"/>
    <tableColumn id="2" xr3:uid="{00000000-0010-0000-0000-000002000000}" name="placement"/>
    <tableColumn id="3" xr3:uid="{00000000-0010-0000-0000-000003000000}" name="Input Power (mW)"/>
    <tableColumn id="4" xr3:uid="{00000000-0010-0000-0000-000004000000}" name="SAR_wholebody (mW/kg)"/>
    <tableColumn id="5" xr3:uid="{00000000-0010-0000-0000-000005000000}" name="SAR_head (mW/kg)"/>
    <tableColumn id="6" xr3:uid="{00000000-0010-0000-0000-000006000000}" name="SAR_trunk (mW/kg)"/>
    <tableColumn id="7" xr3:uid="{00000000-0010-0000-0000-000007000000}" name="psSAR10g_eyes (mW/kg)"/>
    <tableColumn id="8" xr3:uid="{00000000-0010-0000-0000-000008000000}" name="psSAR10g_skin (mW/kg)"/>
    <tableColumn id="9" xr3:uid="{00000000-0010-0000-0000-000009000000}" name="psSAR10g_brain (mW/kg)"/>
    <tableColumn id="10" xr3:uid="{7C3B4F09-0EE3-D449-BABE-DD33AEC853D8}" name="SAR_brain (mW/kg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8" displayName="Table18" ref="A1:J1048576" totalsRowShown="0">
  <autoFilter ref="A1:J1048576" xr:uid="{00000000-0009-0000-0100-000002000000}"/>
  <tableColumns count="10">
    <tableColumn id="1" xr3:uid="{00000000-0010-0000-0100-000001000000}" name="frequency_mhz"/>
    <tableColumn id="2" xr3:uid="{00000000-0010-0000-0100-000002000000}" name="placement"/>
    <tableColumn id="3" xr3:uid="{00000000-0010-0000-0100-000003000000}" name="Input Power (W)"/>
    <tableColumn id="4" xr3:uid="{00000000-0010-0000-0100-000004000000}" name="SAR_wholebody (mW/kg)"/>
    <tableColumn id="5" xr3:uid="{00000000-0010-0000-0100-000005000000}" name="SAR_head (mW/kg)"/>
    <tableColumn id="6" xr3:uid="{00000000-0010-0000-0100-000006000000}" name="SAR_trunk (mW/kg)"/>
    <tableColumn id="7" xr3:uid="{00000000-0010-0000-0100-000007000000}" name="psSAR10g_eyes (mW/kg)"/>
    <tableColumn id="8" xr3:uid="{00000000-0010-0000-0100-000008000000}" name="psSAR10g_skin (mW/kg)"/>
    <tableColumn id="9" xr3:uid="{00000000-0010-0000-0100-000009000000}" name="psSAR10g_brain (mW/kg)"/>
    <tableColumn id="10" xr3:uid="{B330BA9D-B279-5D4B-A247-2EF34D83B1D9}" name="SAR_brain (mW/kg)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A1:J1048576" totalsRowShown="0">
  <autoFilter ref="A1:J1048576" xr:uid="{00000000-0009-0000-0100-000003000000}"/>
  <tableColumns count="10">
    <tableColumn id="1" xr3:uid="{00000000-0010-0000-0200-000001000000}" name="frequency_mhz"/>
    <tableColumn id="2" xr3:uid="{00000000-0010-0000-0200-000002000000}" name="placement"/>
    <tableColumn id="3" xr3:uid="{00000000-0010-0000-0200-000003000000}" name="Input Power (mW)"/>
    <tableColumn id="4" xr3:uid="{00000000-0010-0000-0200-000004000000}" name="SAR_wholebody (mW/kg)"/>
    <tableColumn id="5" xr3:uid="{00000000-0010-0000-0200-000005000000}" name="SAR_head (mW/kg)"/>
    <tableColumn id="6" xr3:uid="{00000000-0010-0000-0200-000006000000}" name="SAR_trunk (mW/kg)"/>
    <tableColumn id="7" xr3:uid="{00000000-0010-0000-0200-000007000000}" name="psSAR10g_eyes (mW/kg)"/>
    <tableColumn id="8" xr3:uid="{00000000-0010-0000-0200-000008000000}" name="psSAR10g_skin (mW/kg)"/>
    <tableColumn id="9" xr3:uid="{00000000-0010-0000-0200-000009000000}" name="psSAR10g_brain (mW/kg)"/>
    <tableColumn id="10" xr3:uid="{622F33B5-9C0D-C44E-B8C9-2EB82A63FF33}" name="SAR_brain (mW/kg)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9" displayName="Table29" ref="A1:J1048576" totalsRowShown="0">
  <autoFilter ref="A1:J1048576" xr:uid="{00000000-0009-0000-0100-000004000000}"/>
  <tableColumns count="10">
    <tableColumn id="1" xr3:uid="{00000000-0010-0000-0300-000001000000}" name="frequency_mhz"/>
    <tableColumn id="2" xr3:uid="{00000000-0010-0000-0300-000002000000}" name="placement"/>
    <tableColumn id="3" xr3:uid="{00000000-0010-0000-0300-000003000000}" name="Input Power (W)"/>
    <tableColumn id="4" xr3:uid="{00000000-0010-0000-0300-000004000000}" name="SAR_wholebody (mW/kg)"/>
    <tableColumn id="5" xr3:uid="{00000000-0010-0000-0300-000005000000}" name="SAR_head (mW/kg)"/>
    <tableColumn id="6" xr3:uid="{00000000-0010-0000-0300-000006000000}" name="SAR_trunk (mW/kg)"/>
    <tableColumn id="7" xr3:uid="{00000000-0010-0000-0300-000007000000}" name="psSAR10g_eyes (mW/kg)"/>
    <tableColumn id="8" xr3:uid="{00000000-0010-0000-0300-000008000000}" name="psSAR10g_skin (mW/kg)"/>
    <tableColumn id="9" xr3:uid="{00000000-0010-0000-0300-000009000000}" name="psSAR10g_brain (mW/kg)"/>
    <tableColumn id="10" xr3:uid="{56A198DC-4CE4-1244-8CE7-4DAD2115850F}" name="SAR_brain (mW/kg)" dataDxfId="1">
      <calculatedColumnFormula>Table2[[#This Row],[SAR_brain (mW/kg)]]*10^3/Table2[[#This Row],[Input Power (mW)]]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J1048576" totalsRowShown="0">
  <autoFilter ref="A1:J1048576" xr:uid="{00000000-0009-0000-0100-000005000000}"/>
  <tableColumns count="10">
    <tableColumn id="1" xr3:uid="{00000000-0010-0000-0400-000001000000}" name="frequency_mhz"/>
    <tableColumn id="2" xr3:uid="{00000000-0010-0000-0400-000002000000}" name="placement"/>
    <tableColumn id="3" xr3:uid="{00000000-0010-0000-0400-000003000000}" name="Input Power (mW)"/>
    <tableColumn id="4" xr3:uid="{00000000-0010-0000-0400-000004000000}" name="SAR_wholebody (mW/kg)"/>
    <tableColumn id="5" xr3:uid="{00000000-0010-0000-0400-000005000000}" name="SAR_head (mW/kg)"/>
    <tableColumn id="6" xr3:uid="{00000000-0010-0000-0400-000006000000}" name="SAR_trunk (mW/kg)"/>
    <tableColumn id="7" xr3:uid="{00000000-0010-0000-0400-000007000000}" name="psSAR10g_eyes (mW/kg)"/>
    <tableColumn id="8" xr3:uid="{00000000-0010-0000-0400-000008000000}" name="psSAR10g_skin (mW/kg)"/>
    <tableColumn id="9" xr3:uid="{00000000-0010-0000-0400-000009000000}" name="psSAR10g_brain (mW/kg)"/>
    <tableColumn id="10" xr3:uid="{3CDE5EC0-5F04-C647-8A99-53D56E7EE5F4}" name="SAR_brain (mW/kg)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10" displayName="Table310" ref="A1:I1048576" totalsRowShown="0">
  <autoFilter ref="A1:I1048576" xr:uid="{00000000-0009-0000-0100-000006000000}"/>
  <tableColumns count="9">
    <tableColumn id="1" xr3:uid="{00000000-0010-0000-0500-000001000000}" name="frequency_mhz"/>
    <tableColumn id="2" xr3:uid="{00000000-0010-0000-0500-000002000000}" name="placement"/>
    <tableColumn id="3" xr3:uid="{00000000-0010-0000-0500-000003000000}" name="Input Power (W)"/>
    <tableColumn id="4" xr3:uid="{00000000-0010-0000-0500-000004000000}" name="SAR_wholebody (mW/kg)"/>
    <tableColumn id="5" xr3:uid="{00000000-0010-0000-0500-000005000000}" name="SAR_head (mW/kg)"/>
    <tableColumn id="6" xr3:uid="{00000000-0010-0000-0500-000006000000}" name="SAR_trunk (mW/kg)"/>
    <tableColumn id="7" xr3:uid="{00000000-0010-0000-0500-000007000000}" name="psSAR10g_eyes (mW/kg)"/>
    <tableColumn id="8" xr3:uid="{00000000-0010-0000-0500-000008000000}" name="psSAR10g_skin (mW/kg)"/>
    <tableColumn id="9" xr3:uid="{00000000-0010-0000-0500-000009000000}" name="psSAR10g_brain (mW/kg)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" displayName="Table4" ref="A1:J1048576" totalsRowShown="0">
  <autoFilter ref="A1:J1048576" xr:uid="{00000000-0009-0000-0100-000007000000}"/>
  <tableColumns count="10">
    <tableColumn id="1" xr3:uid="{00000000-0010-0000-0600-000001000000}" name="frequency_mhz"/>
    <tableColumn id="2" xr3:uid="{00000000-0010-0000-0600-000002000000}" name="placement"/>
    <tableColumn id="3" xr3:uid="{00000000-0010-0000-0600-000003000000}" name="Input Power (mW)"/>
    <tableColumn id="4" xr3:uid="{00000000-0010-0000-0600-000004000000}" name="SAR_wholebody (mW/kg)"/>
    <tableColumn id="5" xr3:uid="{00000000-0010-0000-0600-000005000000}" name="SAR_head (mW/kg)"/>
    <tableColumn id="6" xr3:uid="{00000000-0010-0000-0600-000006000000}" name="SAR_trunk (mW/kg)"/>
    <tableColumn id="7" xr3:uid="{00000000-0010-0000-0600-000007000000}" name="psSAR10g_eyes (mW/kg)"/>
    <tableColumn id="8" xr3:uid="{00000000-0010-0000-0600-000008000000}" name="psSAR10g_skin (mW/kg)"/>
    <tableColumn id="9" xr3:uid="{00000000-0010-0000-0600-000009000000}" name="psSAR10g_brain (mW/kg)"/>
    <tableColumn id="10" xr3:uid="{28B34A01-1E2A-D945-B2F5-D7D4D2CF7B24}" name="SAR_brain (mW/kg)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411" displayName="Table411" ref="A1:I1048576" totalsRowShown="0">
  <autoFilter ref="A1:I1048576" xr:uid="{00000000-0009-0000-0100-000008000000}"/>
  <tableColumns count="9">
    <tableColumn id="1" xr3:uid="{00000000-0010-0000-0700-000001000000}" name="frequency_mhz"/>
    <tableColumn id="2" xr3:uid="{00000000-0010-0000-0700-000002000000}" name="placement"/>
    <tableColumn id="3" xr3:uid="{00000000-0010-0000-0700-000003000000}" name="Input Power (W)"/>
    <tableColumn id="4" xr3:uid="{00000000-0010-0000-0700-000004000000}" name="SAR_wholebody (mW/kg)"/>
    <tableColumn id="5" xr3:uid="{00000000-0010-0000-0700-000005000000}" name="SAR_head (mW/kg)"/>
    <tableColumn id="6" xr3:uid="{00000000-0010-0000-0700-000006000000}" name="SAR_trunk (mW/kg)"/>
    <tableColumn id="7" xr3:uid="{00000000-0010-0000-0700-000007000000}" name="psSAR10g_eyes (mW/kg)"/>
    <tableColumn id="8" xr3:uid="{00000000-0010-0000-0700-000008000000}" name="psSAR10g_skin (mW/kg)"/>
    <tableColumn id="9" xr3:uid="{00000000-0010-0000-0700-000009000000}" name="psSAR10g_brain (mW/kg)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5" displayName="Table5" ref="A1:J1048576" totalsRowShown="0">
  <autoFilter ref="A1:J1048576" xr:uid="{00000000-0009-0000-0100-000009000000}"/>
  <tableColumns count="10">
    <tableColumn id="1" xr3:uid="{00000000-0010-0000-0800-000001000000}" name="frequency_mhz"/>
    <tableColumn id="2" xr3:uid="{00000000-0010-0000-0800-000002000000}" name="placement"/>
    <tableColumn id="3" xr3:uid="{00000000-0010-0000-0800-000003000000}" name="Input Power (mW)"/>
    <tableColumn id="4" xr3:uid="{00000000-0010-0000-0800-000004000000}" name="SAR_wholebody (mW/kg)"/>
    <tableColumn id="5" xr3:uid="{00000000-0010-0000-0800-000005000000}" name="SAR_head (mW/kg)"/>
    <tableColumn id="6" xr3:uid="{00000000-0010-0000-0800-000006000000}" name="SAR_trunk (mW/kg)"/>
    <tableColumn id="7" xr3:uid="{00000000-0010-0000-0800-000007000000}" name="psSAR10g_eyes (mW/kg)"/>
    <tableColumn id="8" xr3:uid="{00000000-0010-0000-0800-000008000000}" name="psSAR10g_skin (mW/kg)"/>
    <tableColumn id="9" xr3:uid="{00000000-0010-0000-0800-000009000000}" name="psSAR10g_brain (mW/kg)"/>
    <tableColumn id="10" xr3:uid="{7509EB06-0526-4E4B-8348-95F3F42ECE75}" name="SAR_brain (mW/kg)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512" displayName="Table512" ref="A1:I1048576" totalsRowShown="0">
  <autoFilter ref="A1:I1048576" xr:uid="{00000000-0009-0000-0100-00000A000000}"/>
  <tableColumns count="9">
    <tableColumn id="1" xr3:uid="{00000000-0010-0000-0900-000001000000}" name="frequency_mhz"/>
    <tableColumn id="2" xr3:uid="{00000000-0010-0000-0900-000002000000}" name="placement"/>
    <tableColumn id="3" xr3:uid="{00000000-0010-0000-0900-000003000000}" name="Input Power (W)"/>
    <tableColumn id="4" xr3:uid="{00000000-0010-0000-0900-000004000000}" name="SAR_wholebody (mW/kg)"/>
    <tableColumn id="5" xr3:uid="{00000000-0010-0000-0900-000005000000}" name="SAR_head (mW/kg)"/>
    <tableColumn id="6" xr3:uid="{00000000-0010-0000-0900-000006000000}" name="SAR_trunk (mW/kg)"/>
    <tableColumn id="7" xr3:uid="{00000000-0010-0000-0900-000007000000}" name="psSAR10g_eyes (mW/kg)"/>
    <tableColumn id="8" xr3:uid="{00000000-0010-0000-0900-000008000000}" name="psSAR10g_skin (mW/kg)"/>
    <tableColumn id="9" xr3:uid="{00000000-0010-0000-0900-000009000000}" name="psSAR10g_brain (mW/kg)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6" displayName="Table6" ref="A1:J1048576" totalsRowShown="0">
  <autoFilter ref="A1:J1048576" xr:uid="{00000000-0009-0000-0100-00000B000000}"/>
  <tableColumns count="10">
    <tableColumn id="1" xr3:uid="{00000000-0010-0000-0A00-000001000000}" name="frequency_mhz"/>
    <tableColumn id="2" xr3:uid="{00000000-0010-0000-0A00-000002000000}" name="placement"/>
    <tableColumn id="3" xr3:uid="{00000000-0010-0000-0A00-000003000000}" name="Input Power (mW)"/>
    <tableColumn id="4" xr3:uid="{00000000-0010-0000-0A00-000004000000}" name="SAR_wholebody (mW/kg)"/>
    <tableColumn id="5" xr3:uid="{00000000-0010-0000-0A00-000005000000}" name="SAR_head (mW/kg)"/>
    <tableColumn id="6" xr3:uid="{00000000-0010-0000-0A00-000006000000}" name="SAR_trunk (mW/kg)"/>
    <tableColumn id="7" xr3:uid="{00000000-0010-0000-0A00-000007000000}" name="psSAR10g_eyes (mW/kg)"/>
    <tableColumn id="8" xr3:uid="{00000000-0010-0000-0A00-000008000000}" name="psSAR10g_skin (mW/kg)"/>
    <tableColumn id="9" xr3:uid="{00000000-0010-0000-0A00-000009000000}" name="psSAR10g_brain (mW/kg)"/>
    <tableColumn id="10" xr3:uid="{58D7FDAB-76E9-104F-ADA8-95998E5F1A7C}" name="SAR_brain (mW/kg)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613" displayName="Table613" ref="A1:I1048576" totalsRowShown="0">
  <autoFilter ref="A1:I1048576" xr:uid="{00000000-0009-0000-0100-00000C000000}"/>
  <tableColumns count="9">
    <tableColumn id="1" xr3:uid="{00000000-0010-0000-0B00-000001000000}" name="frequency_mhz"/>
    <tableColumn id="2" xr3:uid="{00000000-0010-0000-0B00-000002000000}" name="placement"/>
    <tableColumn id="3" xr3:uid="{00000000-0010-0000-0B00-000003000000}" name="Input Power (W)"/>
    <tableColumn id="4" xr3:uid="{00000000-0010-0000-0B00-000004000000}" name="SAR_wholebody (mW/kg)"/>
    <tableColumn id="5" xr3:uid="{00000000-0010-0000-0B00-000005000000}" name="SAR_head (mW/kg)"/>
    <tableColumn id="6" xr3:uid="{00000000-0010-0000-0B00-000006000000}" name="SAR_trunk (mW/kg)"/>
    <tableColumn id="7" xr3:uid="{00000000-0010-0000-0B00-000007000000}" name="psSAR10g_eyes (mW/kg)"/>
    <tableColumn id="8" xr3:uid="{00000000-0010-0000-0B00-000008000000}" name="psSAR10g_skin (mW/kg)"/>
    <tableColumn id="9" xr3:uid="{00000000-0010-0000-0B00-000009000000}" name="psSAR10g_brain (mW/kg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opLeftCell="E1" zoomScale="150" zoomScaleNormal="248" workbookViewId="0">
      <selection activeCell="J1" sqref="J1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25.8164062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9</v>
      </c>
      <c r="C2" s="3">
        <v>267</v>
      </c>
      <c r="D2" s="7">
        <v>0.53407393581704898</v>
      </c>
      <c r="E2" s="7">
        <v>0.83238019447128697</v>
      </c>
      <c r="F2" s="7">
        <v>0.40674152683569198</v>
      </c>
      <c r="G2" s="7">
        <v>3.9883646253473901</v>
      </c>
      <c r="H2" s="7">
        <v>8.5729700484193607</v>
      </c>
      <c r="I2" s="7">
        <v>4.7083741495215001</v>
      </c>
      <c r="J2" s="7">
        <v>0.83942156186209993</v>
      </c>
    </row>
    <row r="3" spans="1:10" ht="15.75" customHeight="1" x14ac:dyDescent="0.35">
      <c r="A3" s="4">
        <v>700</v>
      </c>
      <c r="B3" s="4" t="s">
        <v>10</v>
      </c>
      <c r="C3" s="4">
        <v>267</v>
      </c>
      <c r="D3" s="8">
        <v>0.46228985195468603</v>
      </c>
      <c r="E3" s="8">
        <v>0.61986266301007797</v>
      </c>
      <c r="F3" s="8">
        <v>0.43042118201247598</v>
      </c>
      <c r="G3" s="8">
        <v>3.2531428842094399</v>
      </c>
      <c r="H3" s="8">
        <v>12.8560818331456</v>
      </c>
      <c r="I3" s="8">
        <v>5.3808862603302501</v>
      </c>
      <c r="J3" s="8">
        <v>0.38972165144439996</v>
      </c>
    </row>
    <row r="4" spans="1:10" ht="15.75" customHeight="1" x14ac:dyDescent="0.35">
      <c r="A4" s="5">
        <v>700</v>
      </c>
      <c r="B4" s="5" t="s">
        <v>11</v>
      </c>
      <c r="C4" s="5">
        <v>267</v>
      </c>
      <c r="D4" s="9">
        <v>0.58763568470104</v>
      </c>
      <c r="E4" s="9">
        <v>0.748540217747662</v>
      </c>
      <c r="F4" s="9">
        <v>0.48098290702539198</v>
      </c>
      <c r="G4" s="9">
        <v>3.2857723168230701</v>
      </c>
      <c r="H4" s="9">
        <v>7.0091989531226</v>
      </c>
      <c r="I4" s="9">
        <v>3.6411728507135499</v>
      </c>
      <c r="J4" s="9">
        <v>0.79892001473420005</v>
      </c>
    </row>
    <row r="5" spans="1:10" ht="15.75" customHeight="1" x14ac:dyDescent="0.35">
      <c r="A5" s="4">
        <v>700</v>
      </c>
      <c r="B5" s="4" t="s">
        <v>12</v>
      </c>
      <c r="C5" s="4">
        <v>267</v>
      </c>
      <c r="D5" s="8">
        <v>0.465279279767567</v>
      </c>
      <c r="E5" s="8">
        <v>0.39930529543743598</v>
      </c>
      <c r="F5" s="8">
        <v>0.51416319244571496</v>
      </c>
      <c r="G5" s="8">
        <v>1.7630374671906699</v>
      </c>
      <c r="H5" s="8">
        <v>9.3354363809004699</v>
      </c>
      <c r="I5" s="8">
        <v>4.2890493631013697</v>
      </c>
      <c r="J5" s="8">
        <v>0.230560977615</v>
      </c>
    </row>
    <row r="6" spans="1:10" ht="15.75" customHeight="1" x14ac:dyDescent="0.35">
      <c r="A6" s="5">
        <v>700</v>
      </c>
      <c r="B6" s="5" t="s">
        <v>13</v>
      </c>
      <c r="C6" s="5">
        <v>267</v>
      </c>
      <c r="D6" s="9">
        <v>0.176202611349495</v>
      </c>
      <c r="E6" s="9">
        <v>0.28465073323532503</v>
      </c>
      <c r="F6" s="9">
        <v>0.105553055839539</v>
      </c>
      <c r="G6" s="9">
        <v>2.6672956565124402</v>
      </c>
      <c r="H6" s="9">
        <v>2.6672956565124402</v>
      </c>
      <c r="I6" s="9">
        <v>2.4932331944763799</v>
      </c>
      <c r="J6" s="9">
        <v>0.2602603899739</v>
      </c>
    </row>
    <row r="7" spans="1:10" ht="15.75" customHeight="1" x14ac:dyDescent="0.35">
      <c r="A7" s="4">
        <v>700</v>
      </c>
      <c r="B7" s="4" t="s">
        <v>14</v>
      </c>
      <c r="C7" s="4">
        <v>267</v>
      </c>
      <c r="D7" s="8">
        <v>0.43783739683654399</v>
      </c>
      <c r="E7" s="8">
        <v>0.55245231379872695</v>
      </c>
      <c r="F7" s="8">
        <v>0.41489640562139601</v>
      </c>
      <c r="G7" s="8">
        <v>3.1863145062716001</v>
      </c>
      <c r="H7" s="8">
        <v>11.7459692782794</v>
      </c>
      <c r="I7" s="8">
        <v>5.1068747277206699</v>
      </c>
      <c r="J7" s="8">
        <v>0.39112692769640001</v>
      </c>
    </row>
    <row r="8" spans="1:10" ht="15.75" customHeight="1" x14ac:dyDescent="0.35">
      <c r="A8" s="5">
        <v>700</v>
      </c>
      <c r="B8" s="5" t="s">
        <v>15</v>
      </c>
      <c r="C8" s="5">
        <v>267</v>
      </c>
      <c r="D8" s="9">
        <v>0.51906272497703199</v>
      </c>
      <c r="E8" s="9">
        <v>0.82352533341672696</v>
      </c>
      <c r="F8" s="9">
        <v>0.36019435740543698</v>
      </c>
      <c r="G8" s="9">
        <v>4.3451917165177401</v>
      </c>
      <c r="H8" s="9">
        <v>7.8245914558946303</v>
      </c>
      <c r="I8" s="9">
        <v>5.4587784583730699</v>
      </c>
      <c r="J8" s="9">
        <v>0.8544263224134</v>
      </c>
    </row>
    <row r="9" spans="1:10" ht="15.75" customHeight="1" thickBot="1" x14ac:dyDescent="0.4">
      <c r="A9" s="6">
        <v>700</v>
      </c>
      <c r="B9" s="6" t="s">
        <v>16</v>
      </c>
      <c r="C9" s="6">
        <v>267</v>
      </c>
      <c r="D9" s="10">
        <v>0.46180935052079802</v>
      </c>
      <c r="E9" s="10">
        <v>0.56447014505465398</v>
      </c>
      <c r="F9" s="10">
        <v>0.45391428500681003</v>
      </c>
      <c r="G9" s="10">
        <v>3.2187326467682098</v>
      </c>
      <c r="H9" s="10">
        <v>13.1815316601396</v>
      </c>
      <c r="I9" s="10">
        <v>5.1854993947802797</v>
      </c>
      <c r="J9" s="10">
        <v>0.36309328469910002</v>
      </c>
    </row>
    <row r="10" spans="1:10" ht="15.75" customHeight="1" x14ac:dyDescent="0.35">
      <c r="A10" s="3">
        <v>835</v>
      </c>
      <c r="B10" s="3" t="s">
        <v>9</v>
      </c>
      <c r="C10" s="3">
        <v>228</v>
      </c>
      <c r="D10" s="7">
        <v>0.99394610952793105</v>
      </c>
      <c r="E10" s="7">
        <v>1.7794111972381601</v>
      </c>
      <c r="F10" s="7">
        <v>0.79021889939397705</v>
      </c>
      <c r="G10" s="7">
        <v>14.181433752534399</v>
      </c>
      <c r="H10" s="7">
        <v>14.181433752534399</v>
      </c>
      <c r="I10" s="7">
        <v>13.700617572018301</v>
      </c>
      <c r="J10" s="7">
        <v>1.682760007081</v>
      </c>
    </row>
    <row r="11" spans="1:10" ht="15.75" customHeight="1" x14ac:dyDescent="0.35">
      <c r="A11" s="4">
        <v>835</v>
      </c>
      <c r="B11" s="4" t="s">
        <v>10</v>
      </c>
      <c r="C11" s="4">
        <v>228</v>
      </c>
      <c r="D11" s="8">
        <v>1.0382754611071701</v>
      </c>
      <c r="E11" s="8">
        <v>1.37271844250429</v>
      </c>
      <c r="F11" s="8">
        <v>1.3429469749096501</v>
      </c>
      <c r="G11" s="8">
        <v>9.2817769371960797</v>
      </c>
      <c r="H11" s="8">
        <v>22.5707865693808</v>
      </c>
      <c r="I11" s="8">
        <v>9.7778206140970596</v>
      </c>
      <c r="J11" s="8">
        <v>1.0677808958418999</v>
      </c>
    </row>
    <row r="12" spans="1:10" ht="15.75" customHeight="1" x14ac:dyDescent="0.35">
      <c r="A12" s="5">
        <v>835</v>
      </c>
      <c r="B12" s="5" t="s">
        <v>11</v>
      </c>
      <c r="C12" s="5">
        <v>228</v>
      </c>
      <c r="D12" s="9">
        <v>1.0732878600973199</v>
      </c>
      <c r="E12" s="9">
        <v>1.42179493828071</v>
      </c>
      <c r="F12" s="9">
        <v>1.13748155782154</v>
      </c>
      <c r="G12" s="9">
        <v>8.8983245474677499</v>
      </c>
      <c r="H12" s="9">
        <v>11.0986109619831</v>
      </c>
      <c r="I12" s="9">
        <v>8.2916897758119603</v>
      </c>
      <c r="J12" s="9">
        <v>1.2709291609011999</v>
      </c>
    </row>
    <row r="13" spans="1:10" ht="15.75" customHeight="1" x14ac:dyDescent="0.35">
      <c r="A13" s="4">
        <v>835</v>
      </c>
      <c r="B13" s="4" t="s">
        <v>12</v>
      </c>
      <c r="C13" s="4">
        <v>228</v>
      </c>
      <c r="D13" s="8">
        <v>1.05436897633996</v>
      </c>
      <c r="E13" s="8">
        <v>0.88116499926374803</v>
      </c>
      <c r="F13" s="8">
        <v>1.45334912096561</v>
      </c>
      <c r="G13" s="8">
        <v>5.2398532281160701</v>
      </c>
      <c r="H13" s="8">
        <v>14.878093423541401</v>
      </c>
      <c r="I13" s="8">
        <v>4.8483419561932601</v>
      </c>
      <c r="J13" s="8">
        <v>0.61661802974690005</v>
      </c>
    </row>
    <row r="14" spans="1:10" ht="15.75" customHeight="1" x14ac:dyDescent="0.35">
      <c r="A14" s="5">
        <v>835</v>
      </c>
      <c r="B14" s="5" t="s">
        <v>13</v>
      </c>
      <c r="C14" s="5">
        <v>228</v>
      </c>
      <c r="D14" s="9">
        <v>0.54470092784443902</v>
      </c>
      <c r="E14" s="9">
        <v>0.989669592010614</v>
      </c>
      <c r="F14" s="9">
        <v>0.47362591141850702</v>
      </c>
      <c r="G14" s="9">
        <v>10.8464206516531</v>
      </c>
      <c r="H14" s="9">
        <v>10.8464206516531</v>
      </c>
      <c r="I14" s="9">
        <v>10.786519782044399</v>
      </c>
      <c r="J14" s="9">
        <v>0.91728748195449994</v>
      </c>
    </row>
    <row r="15" spans="1:10" ht="15.75" customHeight="1" x14ac:dyDescent="0.35">
      <c r="A15" s="4">
        <v>835</v>
      </c>
      <c r="B15" s="4" t="s">
        <v>14</v>
      </c>
      <c r="C15" s="4">
        <v>228</v>
      </c>
      <c r="D15" s="8">
        <v>1.02256251087924</v>
      </c>
      <c r="E15" s="8">
        <v>1.4583043365330901</v>
      </c>
      <c r="F15" s="8">
        <v>1.2313373314623199</v>
      </c>
      <c r="G15" s="8">
        <v>10.103600698680999</v>
      </c>
      <c r="H15" s="8">
        <v>22.0367173105187</v>
      </c>
      <c r="I15" s="8">
        <v>10.0639054515481</v>
      </c>
      <c r="J15" s="8">
        <v>1.0873706823432001</v>
      </c>
    </row>
    <row r="16" spans="1:10" ht="15.75" customHeight="1" x14ac:dyDescent="0.35">
      <c r="A16" s="5">
        <v>835</v>
      </c>
      <c r="B16" s="5" t="s">
        <v>15</v>
      </c>
      <c r="C16" s="5">
        <v>228</v>
      </c>
      <c r="D16" s="9">
        <v>0.99092035953159796</v>
      </c>
      <c r="E16" s="9">
        <v>1.7342573411806801</v>
      </c>
      <c r="F16" s="9">
        <v>0.81646909341269402</v>
      </c>
      <c r="G16" s="9">
        <v>15.0267563350484</v>
      </c>
      <c r="H16" s="9">
        <v>15.0267563350484</v>
      </c>
      <c r="I16" s="9">
        <v>14.5898414725084</v>
      </c>
      <c r="J16" s="9">
        <v>1.7308694011354999</v>
      </c>
    </row>
    <row r="17" spans="1:10" ht="15.75" customHeight="1" thickBot="1" x14ac:dyDescent="0.4">
      <c r="A17" s="6">
        <v>835</v>
      </c>
      <c r="B17" s="6" t="s">
        <v>16</v>
      </c>
      <c r="C17" s="6">
        <v>228</v>
      </c>
      <c r="D17" s="10">
        <v>1.02285598966005</v>
      </c>
      <c r="E17" s="10">
        <v>1.31878881890481</v>
      </c>
      <c r="F17" s="10">
        <v>1.33386950623731</v>
      </c>
      <c r="G17" s="10">
        <v>8.9206835432940199</v>
      </c>
      <c r="H17" s="10">
        <v>21.9236336646834</v>
      </c>
      <c r="I17" s="10">
        <v>8.9057591412674704</v>
      </c>
      <c r="J17" s="10">
        <v>0.99765613449519985</v>
      </c>
    </row>
    <row r="18" spans="1:10" ht="15.75" customHeight="1" x14ac:dyDescent="0.35">
      <c r="A18" s="3">
        <v>1450</v>
      </c>
      <c r="B18" s="3" t="s">
        <v>9</v>
      </c>
      <c r="C18" s="3">
        <v>106</v>
      </c>
      <c r="D18" s="7">
        <v>0.228250382401261</v>
      </c>
      <c r="E18" s="7">
        <v>0.85881122505341401</v>
      </c>
      <c r="F18" s="7">
        <v>0.287193119170294</v>
      </c>
      <c r="G18" s="7">
        <v>5.0519730749588998</v>
      </c>
      <c r="H18" s="7">
        <v>8.4680083151441607</v>
      </c>
      <c r="I18" s="7">
        <v>4.8182517336936304</v>
      </c>
      <c r="J18" s="7">
        <v>0.42427765856009997</v>
      </c>
    </row>
    <row r="19" spans="1:10" ht="15.75" customHeight="1" x14ac:dyDescent="0.35">
      <c r="A19" s="4">
        <v>1450</v>
      </c>
      <c r="B19" s="4" t="s">
        <v>10</v>
      </c>
      <c r="C19" s="4">
        <v>106</v>
      </c>
      <c r="D19" s="8">
        <v>0.34365325080958098</v>
      </c>
      <c r="E19" s="8">
        <v>1.28765201041777</v>
      </c>
      <c r="F19" s="8">
        <v>0.41580604071889199</v>
      </c>
      <c r="G19" s="8">
        <v>4.6053012966565898</v>
      </c>
      <c r="H19" s="8">
        <v>7.0226090447663996</v>
      </c>
      <c r="I19" s="8">
        <v>6.86878797302563</v>
      </c>
      <c r="J19" s="8">
        <v>0.59219234039700008</v>
      </c>
    </row>
    <row r="20" spans="1:10" ht="15.75" customHeight="1" x14ac:dyDescent="0.35">
      <c r="A20" s="5">
        <v>1450</v>
      </c>
      <c r="B20" s="5" t="s">
        <v>11</v>
      </c>
      <c r="C20" s="5">
        <v>106</v>
      </c>
      <c r="D20" s="9">
        <v>0.27376105679057899</v>
      </c>
      <c r="E20" s="9">
        <v>0.95140676135385704</v>
      </c>
      <c r="F20" s="9">
        <v>0.339943884760737</v>
      </c>
      <c r="G20" s="9">
        <v>3.5733779676541801</v>
      </c>
      <c r="H20" s="9">
        <v>7.1139359432715503</v>
      </c>
      <c r="I20" s="9">
        <v>3.87139788113815</v>
      </c>
      <c r="J20" s="9">
        <v>0.3762375841601</v>
      </c>
    </row>
    <row r="21" spans="1:10" ht="15.75" customHeight="1" x14ac:dyDescent="0.35">
      <c r="A21" s="4">
        <v>1450</v>
      </c>
      <c r="B21" s="4" t="s">
        <v>12</v>
      </c>
      <c r="C21" s="4">
        <v>106</v>
      </c>
      <c r="D21" s="8">
        <v>0.397835869920386</v>
      </c>
      <c r="E21" s="8">
        <v>1.3706171178265001</v>
      </c>
      <c r="F21" s="8">
        <v>0.52789363470279005</v>
      </c>
      <c r="G21" s="8">
        <v>4.0567303349331798</v>
      </c>
      <c r="H21" s="8">
        <v>7.4028111900553197</v>
      </c>
      <c r="I21" s="8">
        <v>5.7407368716673401</v>
      </c>
      <c r="J21" s="8">
        <v>0.49354424273200004</v>
      </c>
    </row>
    <row r="22" spans="1:10" ht="15.75" customHeight="1" x14ac:dyDescent="0.35">
      <c r="A22" s="5">
        <v>1450</v>
      </c>
      <c r="B22" s="5" t="s">
        <v>13</v>
      </c>
      <c r="C22" s="5">
        <v>106</v>
      </c>
      <c r="D22" s="9">
        <v>0.222033398059759</v>
      </c>
      <c r="E22" s="9">
        <v>0.88916115797308604</v>
      </c>
      <c r="F22" s="9">
        <v>0.29257459847470402</v>
      </c>
      <c r="G22" s="9">
        <v>4.2589176864187896</v>
      </c>
      <c r="H22" s="9">
        <v>7.98025397611603</v>
      </c>
      <c r="I22" s="9">
        <v>5.2293720832485002</v>
      </c>
      <c r="J22" s="9">
        <v>0.46687577838530003</v>
      </c>
    </row>
    <row r="23" spans="1:10" ht="15.75" customHeight="1" x14ac:dyDescent="0.35">
      <c r="A23" s="4">
        <v>1450</v>
      </c>
      <c r="B23" s="4" t="s">
        <v>14</v>
      </c>
      <c r="C23" s="4">
        <v>106</v>
      </c>
      <c r="D23" s="8">
        <v>0.339037574518882</v>
      </c>
      <c r="E23" s="8">
        <v>1.3403124667230899</v>
      </c>
      <c r="F23" s="8">
        <v>0.41896636876496501</v>
      </c>
      <c r="G23" s="8">
        <v>4.94904859866541</v>
      </c>
      <c r="H23" s="8">
        <v>7.04473404024926</v>
      </c>
      <c r="I23" s="8">
        <v>6.5250293399830399</v>
      </c>
      <c r="J23" s="8">
        <v>0.57119889176450001</v>
      </c>
    </row>
    <row r="24" spans="1:10" ht="15.75" customHeight="1" x14ac:dyDescent="0.35">
      <c r="A24" s="5">
        <v>1450</v>
      </c>
      <c r="B24" s="5" t="s">
        <v>15</v>
      </c>
      <c r="C24" s="5">
        <v>106</v>
      </c>
      <c r="D24" s="9">
        <v>0.226178307028711</v>
      </c>
      <c r="E24" s="9">
        <v>0.83866323004125698</v>
      </c>
      <c r="F24" s="9">
        <v>0.288409224102532</v>
      </c>
      <c r="G24" s="9">
        <v>5.0742235271124301</v>
      </c>
      <c r="H24" s="9">
        <v>7.9466771741203299</v>
      </c>
      <c r="I24" s="9">
        <v>4.8343366034046298</v>
      </c>
      <c r="J24" s="9">
        <v>0.43126220650390001</v>
      </c>
    </row>
    <row r="25" spans="1:10" ht="15.75" customHeight="1" thickBot="1" x14ac:dyDescent="0.4">
      <c r="A25" s="6">
        <v>1450</v>
      </c>
      <c r="B25" s="6" t="s">
        <v>16</v>
      </c>
      <c r="C25" s="6">
        <v>106</v>
      </c>
      <c r="D25" s="10">
        <v>0.34454264744501301</v>
      </c>
      <c r="E25" s="10">
        <v>1.31357196029023</v>
      </c>
      <c r="F25" s="10">
        <v>0.46413263955530998</v>
      </c>
      <c r="G25" s="10">
        <v>4.5161212644825399</v>
      </c>
      <c r="H25" s="10">
        <v>6.9584190643041604</v>
      </c>
      <c r="I25" s="10">
        <v>6.9338542743433598</v>
      </c>
      <c r="J25" s="10">
        <v>0.5941386940883</v>
      </c>
    </row>
    <row r="26" spans="1:10" ht="15.75" customHeight="1" x14ac:dyDescent="0.35">
      <c r="A26" s="3">
        <v>2140</v>
      </c>
      <c r="B26" s="3" t="s">
        <v>9</v>
      </c>
      <c r="C26" s="3">
        <v>78</v>
      </c>
      <c r="D26" s="7">
        <v>0.25523380652782901</v>
      </c>
      <c r="E26" s="7">
        <v>1.0321436862490001</v>
      </c>
      <c r="F26" s="7">
        <v>0.32904357158862302</v>
      </c>
      <c r="G26" s="7">
        <v>3.1922980512660399</v>
      </c>
      <c r="H26" s="7">
        <v>10.0256248424962</v>
      </c>
      <c r="I26" s="7">
        <v>5.5821666543576498</v>
      </c>
      <c r="J26" s="7">
        <v>0.31052790208440001</v>
      </c>
    </row>
    <row r="27" spans="1:10" ht="15.75" customHeight="1" x14ac:dyDescent="0.35">
      <c r="A27" s="4">
        <v>2140</v>
      </c>
      <c r="B27" s="4" t="s">
        <v>10</v>
      </c>
      <c r="C27" s="4">
        <v>78</v>
      </c>
      <c r="D27" s="8">
        <v>0.34702412313460701</v>
      </c>
      <c r="E27" s="8">
        <v>1.3920743583959001</v>
      </c>
      <c r="F27" s="8">
        <v>0.40116505054270402</v>
      </c>
      <c r="G27" s="8">
        <v>4.2899863497150896</v>
      </c>
      <c r="H27" s="8">
        <v>7.7645935428585098</v>
      </c>
      <c r="I27" s="8">
        <v>5.6960756311759297</v>
      </c>
      <c r="J27" s="8">
        <v>0.43208991695160004</v>
      </c>
    </row>
    <row r="28" spans="1:10" ht="15.75" customHeight="1" x14ac:dyDescent="0.35">
      <c r="A28" s="5">
        <v>2140</v>
      </c>
      <c r="B28" s="5" t="s">
        <v>11</v>
      </c>
      <c r="C28" s="5">
        <v>78</v>
      </c>
      <c r="D28" s="9">
        <v>0.29380326395745698</v>
      </c>
      <c r="E28" s="9">
        <v>0.99310738493454798</v>
      </c>
      <c r="F28" s="9">
        <v>0.34898491312643298</v>
      </c>
      <c r="G28" s="9">
        <v>1.9757147610035499</v>
      </c>
      <c r="H28" s="9">
        <v>6.6094892960511196</v>
      </c>
      <c r="I28" s="9">
        <v>3.2643414209241399</v>
      </c>
      <c r="J28" s="9">
        <v>0.2015742332437</v>
      </c>
    </row>
    <row r="29" spans="1:10" ht="15.75" customHeight="1" x14ac:dyDescent="0.35">
      <c r="A29" s="4">
        <v>2140</v>
      </c>
      <c r="B29" s="4" t="s">
        <v>12</v>
      </c>
      <c r="C29" s="4">
        <v>78</v>
      </c>
      <c r="D29" s="8">
        <v>0.403548800269658</v>
      </c>
      <c r="E29" s="8">
        <v>1.3809876238002401</v>
      </c>
      <c r="F29" s="8">
        <v>0.48482246978210197</v>
      </c>
      <c r="G29" s="8">
        <v>3.5083499942600098</v>
      </c>
      <c r="H29" s="8">
        <v>7.3008369850336301</v>
      </c>
      <c r="I29" s="8">
        <v>4.9161609938892896</v>
      </c>
      <c r="J29" s="8">
        <v>0.36774968322329998</v>
      </c>
    </row>
    <row r="30" spans="1:10" ht="15.75" customHeight="1" x14ac:dyDescent="0.35">
      <c r="A30" s="5">
        <v>2140</v>
      </c>
      <c r="B30" s="5" t="s">
        <v>13</v>
      </c>
      <c r="C30" s="5">
        <v>78</v>
      </c>
      <c r="D30" s="9">
        <v>0.25408152795772798</v>
      </c>
      <c r="E30" s="9">
        <v>0.93847991997158697</v>
      </c>
      <c r="F30" s="9">
        <v>0.32321448183060703</v>
      </c>
      <c r="G30" s="9">
        <v>3.9020518163865998</v>
      </c>
      <c r="H30" s="9">
        <v>10.6007662672616</v>
      </c>
      <c r="I30" s="9">
        <v>5.8268334922914997</v>
      </c>
      <c r="J30" s="9">
        <v>0.33096477785530004</v>
      </c>
    </row>
    <row r="31" spans="1:10" ht="15.75" customHeight="1" x14ac:dyDescent="0.35">
      <c r="A31" s="4">
        <v>2140</v>
      </c>
      <c r="B31" s="4" t="s">
        <v>14</v>
      </c>
      <c r="C31" s="4">
        <v>78</v>
      </c>
      <c r="D31" s="8">
        <v>0.346769920489233</v>
      </c>
      <c r="E31" s="8">
        <v>1.38671908777638</v>
      </c>
      <c r="F31" s="8">
        <v>0.40181548492209901</v>
      </c>
      <c r="G31" s="8">
        <v>4.1457079890293702</v>
      </c>
      <c r="H31" s="8">
        <v>7.8369650597326901</v>
      </c>
      <c r="I31" s="8">
        <v>5.3888914656139999</v>
      </c>
      <c r="J31" s="8">
        <v>0.42338095179640001</v>
      </c>
    </row>
    <row r="32" spans="1:10" ht="15.75" customHeight="1" x14ac:dyDescent="0.35">
      <c r="A32" s="5">
        <v>2140</v>
      </c>
      <c r="B32" s="5" t="s">
        <v>15</v>
      </c>
      <c r="C32" s="5">
        <v>78</v>
      </c>
      <c r="D32" s="9">
        <v>0.25659975221230802</v>
      </c>
      <c r="E32" s="9">
        <v>0.92652717192429501</v>
      </c>
      <c r="F32" s="9">
        <v>0.310988795354537</v>
      </c>
      <c r="G32" s="9">
        <v>3.15247461186773</v>
      </c>
      <c r="H32" s="9">
        <v>9.8513604769525696</v>
      </c>
      <c r="I32" s="9">
        <v>5.4674765683240096</v>
      </c>
      <c r="J32" s="9">
        <v>0.29889067492830002</v>
      </c>
    </row>
    <row r="33" spans="1:10" ht="15.75" customHeight="1" thickBot="1" x14ac:dyDescent="0.4">
      <c r="A33" s="6">
        <v>2140</v>
      </c>
      <c r="B33" s="6" t="s">
        <v>16</v>
      </c>
      <c r="C33" s="6">
        <v>78</v>
      </c>
      <c r="D33" s="10">
        <v>0.34100857926591399</v>
      </c>
      <c r="E33" s="10">
        <v>1.27901994702491</v>
      </c>
      <c r="F33" s="10">
        <v>0.44453584848825001</v>
      </c>
      <c r="G33" s="10">
        <v>4.5164836635962704</v>
      </c>
      <c r="H33" s="10">
        <v>7.4527717172369998</v>
      </c>
      <c r="I33" s="10">
        <v>5.6838468044561798</v>
      </c>
      <c r="J33" s="10">
        <v>0.42027900279039998</v>
      </c>
    </row>
    <row r="34" spans="1:10" ht="15.75" customHeight="1" x14ac:dyDescent="0.35">
      <c r="A34" s="3">
        <v>2450</v>
      </c>
      <c r="B34" s="3" t="s">
        <v>9</v>
      </c>
      <c r="C34" s="3">
        <v>74</v>
      </c>
      <c r="D34" s="7">
        <v>0.25151314660331198</v>
      </c>
      <c r="E34" s="7">
        <v>1.14505103106135</v>
      </c>
      <c r="F34" s="7">
        <v>0.38618690714172998</v>
      </c>
      <c r="G34" s="7">
        <v>4.2954676972957202</v>
      </c>
      <c r="H34" s="7">
        <v>13.6293919751204</v>
      </c>
      <c r="I34" s="7">
        <v>3.9788021871217598</v>
      </c>
      <c r="J34" s="7">
        <v>0.2989073164885</v>
      </c>
    </row>
    <row r="35" spans="1:10" ht="15.75" customHeight="1" x14ac:dyDescent="0.35">
      <c r="A35" s="4">
        <v>2450</v>
      </c>
      <c r="B35" s="4" t="s">
        <v>10</v>
      </c>
      <c r="C35" s="4">
        <v>74</v>
      </c>
      <c r="D35" s="8">
        <v>0.37456702936057201</v>
      </c>
      <c r="E35" s="8">
        <v>1.5826140689825201</v>
      </c>
      <c r="F35" s="8">
        <v>0.59131740310841097</v>
      </c>
      <c r="G35" s="8">
        <v>5.1625969359619504</v>
      </c>
      <c r="H35" s="8">
        <v>10.2412206176329</v>
      </c>
      <c r="I35" s="8">
        <v>5.3764510236437602</v>
      </c>
      <c r="J35" s="8">
        <v>0.43519859070759997</v>
      </c>
    </row>
    <row r="36" spans="1:10" ht="15.75" customHeight="1" x14ac:dyDescent="0.35">
      <c r="A36" s="5">
        <v>2450</v>
      </c>
      <c r="B36" s="5" t="s">
        <v>11</v>
      </c>
      <c r="C36" s="5">
        <v>74</v>
      </c>
      <c r="D36" s="9">
        <v>0.28569572806041998</v>
      </c>
      <c r="E36" s="9">
        <v>1.1783919683292401</v>
      </c>
      <c r="F36" s="9">
        <v>0.44145250825095</v>
      </c>
      <c r="G36" s="9">
        <v>2.4918237674952799</v>
      </c>
      <c r="H36" s="9">
        <v>7.1644463450277396</v>
      </c>
      <c r="I36" s="9">
        <v>3.4982065916451099</v>
      </c>
      <c r="J36" s="9">
        <v>0.1993328118962</v>
      </c>
    </row>
    <row r="37" spans="1:10" ht="15.75" customHeight="1" x14ac:dyDescent="0.35">
      <c r="A37" s="4">
        <v>2450</v>
      </c>
      <c r="B37" s="4" t="s">
        <v>12</v>
      </c>
      <c r="C37" s="4">
        <v>74</v>
      </c>
      <c r="D37" s="8">
        <v>0.40964360526260701</v>
      </c>
      <c r="E37" s="8">
        <v>1.6146932691381299</v>
      </c>
      <c r="F37" s="8">
        <v>0.65070059793876001</v>
      </c>
      <c r="G37" s="8">
        <v>3.9385049948770501</v>
      </c>
      <c r="H37" s="8">
        <v>9.6241683587928506</v>
      </c>
      <c r="I37" s="8">
        <v>4.2505055304582697</v>
      </c>
      <c r="J37" s="8">
        <v>0.32972995637249997</v>
      </c>
    </row>
    <row r="38" spans="1:10" ht="15.75" customHeight="1" x14ac:dyDescent="0.35">
      <c r="A38" s="5">
        <v>2450</v>
      </c>
      <c r="B38" s="5" t="s">
        <v>13</v>
      </c>
      <c r="C38" s="5">
        <v>74</v>
      </c>
      <c r="D38" s="9">
        <v>0.24637769312041899</v>
      </c>
      <c r="E38" s="9">
        <v>1.0875233809314</v>
      </c>
      <c r="F38" s="9">
        <v>0.38917053670159002</v>
      </c>
      <c r="G38" s="9">
        <v>5.40551449336263</v>
      </c>
      <c r="H38" s="9">
        <v>14.126439823162499</v>
      </c>
      <c r="I38" s="9">
        <v>4.86369804505315</v>
      </c>
      <c r="J38" s="9">
        <v>0.30297336272559999</v>
      </c>
    </row>
    <row r="39" spans="1:10" ht="15.75" customHeight="1" x14ac:dyDescent="0.35">
      <c r="A39" s="4">
        <v>2450</v>
      </c>
      <c r="B39" s="4" t="s">
        <v>14</v>
      </c>
      <c r="C39" s="4">
        <v>74</v>
      </c>
      <c r="D39" s="8">
        <v>0.37762144858132402</v>
      </c>
      <c r="E39" s="8">
        <v>1.65358161720417</v>
      </c>
      <c r="F39" s="8">
        <v>0.54477007516232501</v>
      </c>
      <c r="G39" s="8">
        <v>5.32431337063207</v>
      </c>
      <c r="H39" s="8">
        <v>9.8659282960221706</v>
      </c>
      <c r="I39" s="8">
        <v>5.5060226869215798</v>
      </c>
      <c r="J39" s="8">
        <v>0.41761660269969997</v>
      </c>
    </row>
    <row r="40" spans="1:10" ht="15.75" customHeight="1" x14ac:dyDescent="0.35">
      <c r="A40" s="5">
        <v>2450</v>
      </c>
      <c r="B40" s="5" t="s">
        <v>15</v>
      </c>
      <c r="C40" s="5">
        <v>74</v>
      </c>
      <c r="D40" s="9">
        <v>0.25321141149433302</v>
      </c>
      <c r="E40" s="9">
        <v>1.00241715986168</v>
      </c>
      <c r="F40" s="9">
        <v>0.40499830407167098</v>
      </c>
      <c r="G40" s="9">
        <v>4.6817656624662902</v>
      </c>
      <c r="H40" s="9">
        <v>12.8555187866703</v>
      </c>
      <c r="I40" s="9">
        <v>4.3743336312202903</v>
      </c>
      <c r="J40" s="9">
        <v>0.27794526334959996</v>
      </c>
    </row>
    <row r="41" spans="1:10" ht="15.75" customHeight="1" thickBot="1" x14ac:dyDescent="0.4">
      <c r="A41" s="6">
        <v>2450</v>
      </c>
      <c r="B41" s="6" t="s">
        <v>16</v>
      </c>
      <c r="C41" s="6">
        <v>74</v>
      </c>
      <c r="D41" s="10">
        <v>0.37149477827326999</v>
      </c>
      <c r="E41" s="10">
        <v>1.6146960183662</v>
      </c>
      <c r="F41" s="10">
        <v>0.60851513558098203</v>
      </c>
      <c r="G41" s="10">
        <v>5.4769344123641401</v>
      </c>
      <c r="H41" s="10">
        <v>10.151511309144601</v>
      </c>
      <c r="I41" s="10">
        <v>5.8072292106792798</v>
      </c>
      <c r="J41" s="10">
        <v>0.42926162441530002</v>
      </c>
    </row>
    <row r="42" spans="1:10" ht="15.75" customHeight="1" x14ac:dyDescent="0.35">
      <c r="A42" s="3">
        <v>3500</v>
      </c>
      <c r="B42" s="3" t="s">
        <v>9</v>
      </c>
      <c r="C42" s="3">
        <v>55</v>
      </c>
      <c r="D42" s="7">
        <v>0.110076918933027</v>
      </c>
      <c r="E42" s="7">
        <v>0.59488223055881395</v>
      </c>
      <c r="F42" s="7">
        <v>9.6829122634453896E-2</v>
      </c>
      <c r="G42" s="7">
        <v>4.0226194124482397</v>
      </c>
      <c r="H42" s="7">
        <v>6.5418302587563</v>
      </c>
      <c r="I42" s="7">
        <v>4.1758337682231401</v>
      </c>
      <c r="J42" s="7">
        <v>0.17174122310789999</v>
      </c>
    </row>
    <row r="43" spans="1:10" ht="15.75" customHeight="1" x14ac:dyDescent="0.35">
      <c r="A43" s="4">
        <v>3500</v>
      </c>
      <c r="B43" s="4" t="s">
        <v>10</v>
      </c>
      <c r="C43" s="4">
        <v>55</v>
      </c>
      <c r="D43" s="8">
        <v>0.22211934197618999</v>
      </c>
      <c r="E43" s="8">
        <v>1.0153006989553599</v>
      </c>
      <c r="F43" s="8">
        <v>0.202548162811094</v>
      </c>
      <c r="G43" s="8">
        <v>3.1318725678919002</v>
      </c>
      <c r="H43" s="8">
        <v>5.6873914072864196</v>
      </c>
      <c r="I43" s="8">
        <v>3.3196101838020202</v>
      </c>
      <c r="J43" s="8">
        <v>0.11752958331970001</v>
      </c>
    </row>
    <row r="44" spans="1:10" ht="15.75" customHeight="1" x14ac:dyDescent="0.35">
      <c r="A44" s="5">
        <v>3500</v>
      </c>
      <c r="B44" s="5" t="s">
        <v>11</v>
      </c>
      <c r="C44" s="5">
        <v>55</v>
      </c>
      <c r="D44" s="9">
        <v>0.1330428618956</v>
      </c>
      <c r="E44" s="9">
        <v>0.62195504084116404</v>
      </c>
      <c r="F44" s="9">
        <v>0.123694228142191</v>
      </c>
      <c r="G44" s="9">
        <v>4.3166805973123896</v>
      </c>
      <c r="H44" s="9">
        <v>8.1052791176609897</v>
      </c>
      <c r="I44" s="9">
        <v>3.6379306938610299</v>
      </c>
      <c r="J44" s="9">
        <v>0.11202793502479999</v>
      </c>
    </row>
    <row r="45" spans="1:10" ht="15.75" customHeight="1" x14ac:dyDescent="0.35">
      <c r="A45" s="4">
        <v>3500</v>
      </c>
      <c r="B45" s="4" t="s">
        <v>12</v>
      </c>
      <c r="C45" s="4">
        <v>55</v>
      </c>
      <c r="D45" s="8">
        <v>0.221616009082785</v>
      </c>
      <c r="E45" s="8">
        <v>0.99404292549202899</v>
      </c>
      <c r="F45" s="8">
        <v>0.19768029696237699</v>
      </c>
      <c r="G45" s="8">
        <v>2.4694037532545399</v>
      </c>
      <c r="H45" s="8">
        <v>3.7057042546063901</v>
      </c>
      <c r="I45" s="8">
        <v>2.4694037532545399</v>
      </c>
      <c r="J45" s="8">
        <v>9.1441464538847161E-2</v>
      </c>
    </row>
    <row r="46" spans="1:10" ht="15.75" customHeight="1" x14ac:dyDescent="0.35">
      <c r="A46" s="5">
        <v>3500</v>
      </c>
      <c r="B46" s="5" t="s">
        <v>13</v>
      </c>
      <c r="C46" s="5">
        <v>55</v>
      </c>
      <c r="D46" s="9">
        <v>0.10808926222172199</v>
      </c>
      <c r="E46" s="9">
        <v>0.52003324962360897</v>
      </c>
      <c r="F46" s="9">
        <v>9.0368388244779704E-2</v>
      </c>
      <c r="G46" s="9">
        <v>3.6499651805636502</v>
      </c>
      <c r="H46" s="9">
        <v>6.2889763330422799</v>
      </c>
      <c r="I46" s="9">
        <v>4.68584758856462</v>
      </c>
      <c r="J46" s="9">
        <v>0.1833825368758</v>
      </c>
    </row>
    <row r="47" spans="1:10" ht="15.75" customHeight="1" x14ac:dyDescent="0.35">
      <c r="A47" s="4">
        <v>3500</v>
      </c>
      <c r="B47" s="4" t="s">
        <v>14</v>
      </c>
      <c r="C47" s="4">
        <v>55</v>
      </c>
      <c r="D47" s="8">
        <v>0.20388986237630699</v>
      </c>
      <c r="E47" s="8">
        <v>0.88182152052031404</v>
      </c>
      <c r="F47" s="8">
        <v>0.20294950994115099</v>
      </c>
      <c r="G47" s="8">
        <v>2.3137890993517898</v>
      </c>
      <c r="H47" s="8">
        <v>4.4113594044051201</v>
      </c>
      <c r="I47" s="8">
        <v>2.5257336731810902</v>
      </c>
      <c r="J47" s="8">
        <v>9.8745399783705362E-2</v>
      </c>
    </row>
    <row r="48" spans="1:10" ht="15.75" customHeight="1" x14ac:dyDescent="0.35">
      <c r="A48" s="5">
        <v>3500</v>
      </c>
      <c r="B48" s="5" t="s">
        <v>15</v>
      </c>
      <c r="C48" s="5">
        <v>55</v>
      </c>
      <c r="D48" s="9">
        <v>0.11386210494404</v>
      </c>
      <c r="E48" s="9">
        <v>0.60862616579873197</v>
      </c>
      <c r="F48" s="9">
        <v>9.4299617533652805E-2</v>
      </c>
      <c r="G48" s="9">
        <v>4.5504762762096602</v>
      </c>
      <c r="H48" s="9">
        <v>6.7861626519608897</v>
      </c>
      <c r="I48" s="9">
        <v>4.4760090114920796</v>
      </c>
      <c r="J48" s="9">
        <v>0.17705944181369998</v>
      </c>
    </row>
    <row r="49" spans="1:10" ht="15.75" customHeight="1" thickBot="1" x14ac:dyDescent="0.4">
      <c r="A49" s="6">
        <v>3500</v>
      </c>
      <c r="B49" s="6" t="s">
        <v>16</v>
      </c>
      <c r="C49" s="6">
        <v>55</v>
      </c>
      <c r="D49" s="10">
        <v>0.240032738363673</v>
      </c>
      <c r="E49" s="10">
        <v>1.0371397074058399</v>
      </c>
      <c r="F49" s="10">
        <v>0.218396507101071</v>
      </c>
      <c r="G49" s="10">
        <v>3.3686252340334302</v>
      </c>
      <c r="H49" s="10">
        <v>6.96924774228372</v>
      </c>
      <c r="I49" s="10">
        <v>3.6022180065701699</v>
      </c>
      <c r="J49" s="10">
        <v>0.1301404494191</v>
      </c>
    </row>
    <row r="50" spans="1:10" ht="15.75" customHeight="1" x14ac:dyDescent="0.35">
      <c r="A50" s="3">
        <v>5200</v>
      </c>
      <c r="B50" s="3" t="s">
        <v>9</v>
      </c>
      <c r="C50" s="3">
        <v>53</v>
      </c>
      <c r="D50" s="7">
        <v>9.8399104296707507E-2</v>
      </c>
      <c r="E50" s="7">
        <v>0.29385012974646901</v>
      </c>
      <c r="F50" s="7">
        <v>9.8138677554761203E-2</v>
      </c>
      <c r="G50" s="7">
        <v>1.5765264633670499</v>
      </c>
      <c r="H50" s="7">
        <v>4.0639578303226802</v>
      </c>
      <c r="I50" s="7">
        <v>3.0227152215919202</v>
      </c>
      <c r="J50" s="7">
        <v>4.9489951771152153E-2</v>
      </c>
    </row>
    <row r="51" spans="1:10" ht="15.75" customHeight="1" x14ac:dyDescent="0.35">
      <c r="A51" s="4">
        <v>5200</v>
      </c>
      <c r="B51" s="4" t="s">
        <v>10</v>
      </c>
      <c r="C51" s="4">
        <v>53</v>
      </c>
      <c r="D51" s="8">
        <v>0.133850395302233</v>
      </c>
      <c r="E51" s="8">
        <v>0.35894531059880902</v>
      </c>
      <c r="F51" s="8">
        <v>0.127179509704305</v>
      </c>
      <c r="G51" s="8">
        <v>3.02592846928153</v>
      </c>
      <c r="H51" s="8">
        <v>4.2444260052376999</v>
      </c>
      <c r="I51" s="8">
        <v>2.7379615840230001</v>
      </c>
      <c r="J51" s="8">
        <v>3.2162311391154004E-2</v>
      </c>
    </row>
    <row r="52" spans="1:10" ht="15.75" customHeight="1" x14ac:dyDescent="0.35">
      <c r="A52" s="5">
        <v>5200</v>
      </c>
      <c r="B52" s="5" t="s">
        <v>11</v>
      </c>
      <c r="C52" s="5">
        <v>53</v>
      </c>
      <c r="D52" s="9">
        <v>0.116914431099899</v>
      </c>
      <c r="E52" s="9">
        <v>0.33725315397256</v>
      </c>
      <c r="F52" s="9">
        <v>0.127780530209402</v>
      </c>
      <c r="G52" s="9">
        <v>3.5010324517522902</v>
      </c>
      <c r="H52" s="9">
        <v>5.6508793342557304</v>
      </c>
      <c r="I52" s="9">
        <v>4.39830102327692</v>
      </c>
      <c r="J52" s="9">
        <v>5.7517022695827903E-2</v>
      </c>
    </row>
    <row r="53" spans="1:10" ht="15.75" customHeight="1" x14ac:dyDescent="0.35">
      <c r="A53" s="4">
        <v>5200</v>
      </c>
      <c r="B53" s="4" t="s">
        <v>12</v>
      </c>
      <c r="C53" s="4">
        <v>53</v>
      </c>
      <c r="D53" s="8">
        <v>0.14386708479569099</v>
      </c>
      <c r="E53" s="8">
        <v>0.39989323820254902</v>
      </c>
      <c r="F53" s="8">
        <v>0.14355596975631199</v>
      </c>
      <c r="G53" s="8">
        <v>2.46833682803882</v>
      </c>
      <c r="H53" s="8">
        <v>4.7428531933117002</v>
      </c>
      <c r="I53" s="8">
        <v>2.0822072599127202</v>
      </c>
      <c r="J53" s="8">
        <v>2.365894856271988E-2</v>
      </c>
    </row>
    <row r="54" spans="1:10" ht="15.75" customHeight="1" x14ac:dyDescent="0.35">
      <c r="A54" s="5">
        <v>5200</v>
      </c>
      <c r="B54" s="5" t="s">
        <v>13</v>
      </c>
      <c r="C54" s="5">
        <v>53</v>
      </c>
      <c r="D54" s="9">
        <v>9.4795351339539799E-2</v>
      </c>
      <c r="E54" s="9">
        <v>0.28027057793775201</v>
      </c>
      <c r="F54" s="9">
        <v>9.6261922591217103E-2</v>
      </c>
      <c r="G54" s="9">
        <v>1.35623802643202</v>
      </c>
      <c r="H54" s="9">
        <v>4.4582239384170901</v>
      </c>
      <c r="I54" s="9">
        <v>2.7412010920989802</v>
      </c>
      <c r="J54" s="9">
        <v>4.8890617317272782E-2</v>
      </c>
    </row>
    <row r="55" spans="1:10" ht="15.75" customHeight="1" x14ac:dyDescent="0.35">
      <c r="A55" s="4">
        <v>5200</v>
      </c>
      <c r="B55" s="4" t="s">
        <v>14</v>
      </c>
      <c r="C55" s="4">
        <v>53</v>
      </c>
      <c r="D55" s="8">
        <v>0.134226837933029</v>
      </c>
      <c r="E55" s="8">
        <v>0.36927233141275101</v>
      </c>
      <c r="F55" s="8">
        <v>0.13537067506717301</v>
      </c>
      <c r="G55" s="8">
        <v>2.9699098386768998</v>
      </c>
      <c r="H55" s="8">
        <v>6.18906399960649</v>
      </c>
      <c r="I55" s="8">
        <v>3.06849208079081</v>
      </c>
      <c r="J55" s="8">
        <v>3.1172831208986094E-2</v>
      </c>
    </row>
    <row r="56" spans="1:10" ht="15.75" customHeight="1" x14ac:dyDescent="0.35">
      <c r="A56" s="5">
        <v>5200</v>
      </c>
      <c r="B56" s="5" t="s">
        <v>15</v>
      </c>
      <c r="C56" s="5">
        <v>53</v>
      </c>
      <c r="D56" s="9">
        <v>0.101606589323552</v>
      </c>
      <c r="E56" s="9">
        <v>0.31530325918638102</v>
      </c>
      <c r="F56" s="9">
        <v>0.100462303524159</v>
      </c>
      <c r="G56" s="9">
        <v>2.1537254981517502</v>
      </c>
      <c r="H56" s="9">
        <v>4.3562287921617298</v>
      </c>
      <c r="I56" s="9">
        <v>3.19475207229278</v>
      </c>
      <c r="J56" s="9">
        <v>5.6564024633974579E-2</v>
      </c>
    </row>
    <row r="57" spans="1:10" ht="15.75" customHeight="1" thickBot="1" x14ac:dyDescent="0.4">
      <c r="A57" s="6">
        <v>5200</v>
      </c>
      <c r="B57" s="6" t="s">
        <v>16</v>
      </c>
      <c r="C57" s="6">
        <v>53</v>
      </c>
      <c r="D57" s="10">
        <v>0.135637472989667</v>
      </c>
      <c r="E57" s="10">
        <v>0.35883621164294</v>
      </c>
      <c r="F57" s="10">
        <v>0.14065329993529299</v>
      </c>
      <c r="G57" s="10">
        <v>2.34121960944637</v>
      </c>
      <c r="H57" s="10">
        <v>2.8300431789389702</v>
      </c>
      <c r="I57" s="10">
        <v>2.08873574792181</v>
      </c>
      <c r="J57" s="10">
        <v>3.5596055008623687E-2</v>
      </c>
    </row>
    <row r="58" spans="1:10" ht="15.75" customHeight="1" x14ac:dyDescent="0.35">
      <c r="A58" s="3">
        <v>5800</v>
      </c>
      <c r="B58" s="3" t="s">
        <v>9</v>
      </c>
      <c r="C58" s="3">
        <v>54</v>
      </c>
      <c r="D58" s="7">
        <v>0.103101711848975</v>
      </c>
      <c r="E58" s="7">
        <v>0.36936617485301998</v>
      </c>
      <c r="F58" s="7">
        <v>7.7471066495193294E-2</v>
      </c>
      <c r="G58" s="7">
        <v>2.3588949644921402</v>
      </c>
      <c r="H58" s="7">
        <v>6.9389241264260697</v>
      </c>
      <c r="I58" s="7">
        <v>2.6002795517939101</v>
      </c>
      <c r="J58" s="7">
        <v>3.1746881998340554E-2</v>
      </c>
    </row>
    <row r="59" spans="1:10" ht="15.75" customHeight="1" x14ac:dyDescent="0.35">
      <c r="A59" s="4">
        <v>5800</v>
      </c>
      <c r="B59" s="4" t="s">
        <v>10</v>
      </c>
      <c r="C59" s="4">
        <v>54</v>
      </c>
      <c r="D59" s="8">
        <v>0.14161842311245501</v>
      </c>
      <c r="E59" s="8">
        <v>0.45481917843671799</v>
      </c>
      <c r="F59" s="8">
        <v>0.11484352516434999</v>
      </c>
      <c r="G59" s="8">
        <v>3.0041587545692199</v>
      </c>
      <c r="H59" s="8">
        <v>7.8315363230927604</v>
      </c>
      <c r="I59" s="8">
        <v>3.6520399370660002</v>
      </c>
      <c r="J59" s="8">
        <v>3.0482736410489604E-2</v>
      </c>
    </row>
    <row r="60" spans="1:10" ht="15.75" customHeight="1" x14ac:dyDescent="0.35">
      <c r="A60" s="5">
        <v>5800</v>
      </c>
      <c r="B60" s="5" t="s">
        <v>11</v>
      </c>
      <c r="C60" s="5">
        <v>54</v>
      </c>
      <c r="D60" s="9">
        <v>0.117103388477194</v>
      </c>
      <c r="E60" s="9">
        <v>0.421203734647915</v>
      </c>
      <c r="F60" s="9">
        <v>9.9691392241621296E-2</v>
      </c>
      <c r="G60" s="9">
        <v>2.64646282326287</v>
      </c>
      <c r="H60" s="9">
        <v>4.4964586269786402</v>
      </c>
      <c r="I60" s="9">
        <v>4.4964586269786402</v>
      </c>
      <c r="J60" s="9">
        <v>3.8389255023437777E-2</v>
      </c>
    </row>
    <row r="61" spans="1:10" ht="15.75" customHeight="1" x14ac:dyDescent="0.35">
      <c r="A61" s="4">
        <v>5800</v>
      </c>
      <c r="B61" s="4" t="s">
        <v>12</v>
      </c>
      <c r="C61" s="4">
        <v>54</v>
      </c>
      <c r="D61" s="8">
        <v>0.14591571631507799</v>
      </c>
      <c r="E61" s="8">
        <v>0.48709054268468199</v>
      </c>
      <c r="F61" s="8">
        <v>0.114305111831303</v>
      </c>
      <c r="G61" s="8">
        <v>2.7371307873130499</v>
      </c>
      <c r="H61" s="8">
        <v>5.9836319967294704</v>
      </c>
      <c r="I61" s="8">
        <v>2.7371307873130499</v>
      </c>
      <c r="J61" s="8">
        <v>2.2181637498916249E-2</v>
      </c>
    </row>
    <row r="62" spans="1:10" ht="15.75" customHeight="1" x14ac:dyDescent="0.35">
      <c r="A62" s="5">
        <v>5800</v>
      </c>
      <c r="B62" s="5" t="s">
        <v>13</v>
      </c>
      <c r="C62" s="5">
        <v>54</v>
      </c>
      <c r="D62" s="9">
        <v>0.100116773950038</v>
      </c>
      <c r="E62" s="9">
        <v>0.334136728117014</v>
      </c>
      <c r="F62" s="9">
        <v>7.82546943273527E-2</v>
      </c>
      <c r="G62" s="9">
        <v>2.0485932847958401</v>
      </c>
      <c r="H62" s="9">
        <v>6.5175148385305102</v>
      </c>
      <c r="I62" s="9">
        <v>2.2164218746201798</v>
      </c>
      <c r="J62" s="9">
        <v>2.9227527541713743E-2</v>
      </c>
    </row>
    <row r="63" spans="1:10" ht="15.75" customHeight="1" x14ac:dyDescent="0.35">
      <c r="A63" s="4">
        <v>5800</v>
      </c>
      <c r="B63" s="4" t="s">
        <v>14</v>
      </c>
      <c r="C63" s="4">
        <v>54</v>
      </c>
      <c r="D63" s="8">
        <v>0.14088273582595101</v>
      </c>
      <c r="E63" s="8">
        <v>0.47063793024450401</v>
      </c>
      <c r="F63" s="8">
        <v>0.116375496456502</v>
      </c>
      <c r="G63" s="8">
        <v>3.2684274856640299</v>
      </c>
      <c r="H63" s="8">
        <v>8.4195455426190602</v>
      </c>
      <c r="I63" s="8">
        <v>3.6229134505137099</v>
      </c>
      <c r="J63" s="8">
        <v>2.9620646747115287E-2</v>
      </c>
    </row>
    <row r="64" spans="1:10" ht="15.75" customHeight="1" x14ac:dyDescent="0.35">
      <c r="A64" s="5">
        <v>5800</v>
      </c>
      <c r="B64" s="5" t="s">
        <v>15</v>
      </c>
      <c r="C64" s="5">
        <v>54</v>
      </c>
      <c r="D64" s="9">
        <v>0.102146240053301</v>
      </c>
      <c r="E64" s="9">
        <v>0.37384816567014401</v>
      </c>
      <c r="F64" s="9">
        <v>8.0402561676901907E-2</v>
      </c>
      <c r="G64" s="9">
        <v>2.2770203880398801</v>
      </c>
      <c r="H64" s="9">
        <v>5.6810585974493399</v>
      </c>
      <c r="I64" s="9">
        <v>2.8418374138859099</v>
      </c>
      <c r="J64" s="9">
        <v>3.3001045330095992E-2</v>
      </c>
    </row>
    <row r="65" spans="1:10" ht="15.75" customHeight="1" thickBot="1" x14ac:dyDescent="0.4">
      <c r="A65" s="6">
        <v>5800</v>
      </c>
      <c r="B65" s="6" t="s">
        <v>16</v>
      </c>
      <c r="C65" s="6">
        <v>54</v>
      </c>
      <c r="D65" s="10">
        <v>0.14162144395172499</v>
      </c>
      <c r="E65" s="10">
        <v>0.47239185411353402</v>
      </c>
      <c r="F65" s="10">
        <v>0.106521004468086</v>
      </c>
      <c r="G65" s="10">
        <v>2.9751635031874701</v>
      </c>
      <c r="H65" s="10">
        <v>5.4962521969765703</v>
      </c>
      <c r="I65" s="10">
        <v>2.9843824716942602</v>
      </c>
      <c r="J65" s="10">
        <v>3.3693421539105574E-2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topLeftCell="A5" zoomScaleNormal="248" workbookViewId="0">
      <selection activeCell="C23" sqref="C23:C25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23.179687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17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9</v>
      </c>
      <c r="C2" s="3">
        <v>1</v>
      </c>
      <c r="D2" s="7">
        <f>Table1[[#This Row],[SAR_wholebody (mW/kg)]]*10^3/Table1[[#This Row],[Input Power (mW)]]</f>
        <v>2.0002769131724683</v>
      </c>
      <c r="E2" s="7">
        <f>Table1[[#This Row],[SAR_head (mW/kg)]]*10^3/Table1[[#This Row],[Input Power (mW)]]</f>
        <v>3.1175288182445202</v>
      </c>
      <c r="F2" s="7">
        <f>Table1[[#This Row],[SAR_trunk (mW/kg)]]*10^3/Table1[[#This Row],[Input Power (mW)]]</f>
        <v>1.5233765050025916</v>
      </c>
      <c r="G2" s="7">
        <f>Table1[[#This Row],[psSAR10g_eyes (mW/kg)]]*10^3/Table1[[#This Row],[Input Power (mW)]]</f>
        <v>14.937695226020189</v>
      </c>
      <c r="H2" s="7">
        <f>Table1[[#This Row],[psSAR10g_skin (mW/kg)]]*10^3/Table1[[#This Row],[Input Power (mW)]]</f>
        <v>32.108502054005093</v>
      </c>
      <c r="I2" s="7">
        <f>Table1[[#This Row],[psSAR10g_brain (mW/kg)]]*10^3/Table1[[#This Row],[Input Power (mW)]]</f>
        <v>17.634360110567414</v>
      </c>
      <c r="J2" s="7">
        <f>Table1[[#This Row],[SAR_brain (mW/kg)]]*10^3/Table1[[#This Row],[Input Power (mW)]]</f>
        <v>3.1439009807569285</v>
      </c>
    </row>
    <row r="3" spans="1:10" ht="15.75" customHeight="1" x14ac:dyDescent="0.35">
      <c r="A3" s="4">
        <v>700</v>
      </c>
      <c r="B3" s="4" t="s">
        <v>10</v>
      </c>
      <c r="C3" s="4">
        <v>1</v>
      </c>
      <c r="D3" s="8">
        <f>Table1[[#This Row],[SAR_wholebody (mW/kg)]]*10^3/Table1[[#This Row],[Input Power (mW)]]</f>
        <v>1.7314226664969514</v>
      </c>
      <c r="E3" s="8">
        <f>Table1[[#This Row],[SAR_head (mW/kg)]]*10^3/Table1[[#This Row],[Input Power (mW)]]</f>
        <v>2.3215830075283819</v>
      </c>
      <c r="F3" s="8">
        <f>Table1[[#This Row],[SAR_trunk (mW/kg)]]*10^3/Table1[[#This Row],[Input Power (mW)]]</f>
        <v>1.6120643521066516</v>
      </c>
      <c r="G3" s="8">
        <f>Table1[[#This Row],[psSAR10g_eyes (mW/kg)]]*10^3/Table1[[#This Row],[Input Power (mW)]]</f>
        <v>12.18405574610277</v>
      </c>
      <c r="H3" s="8">
        <f>Table1[[#This Row],[psSAR10g_skin (mW/kg)]]*10^3/Table1[[#This Row],[Input Power (mW)]]</f>
        <v>48.150119225264419</v>
      </c>
      <c r="I3" s="8">
        <f>Table1[[#This Row],[psSAR10g_brain (mW/kg)]]*10^3/Table1[[#This Row],[Input Power (mW)]]</f>
        <v>20.153132061161987</v>
      </c>
      <c r="J3" s="8">
        <f>Table1[[#This Row],[SAR_brain (mW/kg)]]*10^3/Table1[[#This Row],[Input Power (mW)]]</f>
        <v>1.4596316533498126</v>
      </c>
    </row>
    <row r="4" spans="1:10" ht="15.75" customHeight="1" x14ac:dyDescent="0.35">
      <c r="A4" s="5">
        <v>700</v>
      </c>
      <c r="B4" s="5" t="s">
        <v>11</v>
      </c>
      <c r="C4" s="5">
        <v>1</v>
      </c>
      <c r="D4" s="9">
        <f>Table1[[#This Row],[SAR_wholebody (mW/kg)]]*10^3/Table1[[#This Row],[Input Power (mW)]]</f>
        <v>2.2008827142361049</v>
      </c>
      <c r="E4" s="9">
        <f>Table1[[#This Row],[SAR_head (mW/kg)]]*10^3/Table1[[#This Row],[Input Power (mW)]]</f>
        <v>2.803521414785251</v>
      </c>
      <c r="F4" s="9">
        <f>Table1[[#This Row],[SAR_trunk (mW/kg)]]*10^3/Table1[[#This Row],[Input Power (mW)]]</f>
        <v>1.8014341087093333</v>
      </c>
      <c r="G4" s="9">
        <f>Table1[[#This Row],[psSAR10g_eyes (mW/kg)]]*10^3/Table1[[#This Row],[Input Power (mW)]]</f>
        <v>12.306263358887902</v>
      </c>
      <c r="H4" s="9">
        <f>Table1[[#This Row],[psSAR10g_skin (mW/kg)]]*10^3/Table1[[#This Row],[Input Power (mW)]]</f>
        <v>26.251681472369288</v>
      </c>
      <c r="I4" s="9">
        <f>Table1[[#This Row],[psSAR10g_brain (mW/kg)]]*10^3/Table1[[#This Row],[Input Power (mW)]]</f>
        <v>13.637351500799813</v>
      </c>
      <c r="J4" s="9">
        <f>Table1[[#This Row],[SAR_brain (mW/kg)]]*10^3/Table1[[#This Row],[Input Power (mW)]]</f>
        <v>2.9922097930119853</v>
      </c>
    </row>
    <row r="5" spans="1:10" ht="15.75" customHeight="1" x14ac:dyDescent="0.35">
      <c r="A5" s="4">
        <v>700</v>
      </c>
      <c r="B5" s="4" t="s">
        <v>12</v>
      </c>
      <c r="C5" s="4">
        <v>1</v>
      </c>
      <c r="D5" s="8">
        <f>Table1[[#This Row],[SAR_wholebody (mW/kg)]]*10^3/Table1[[#This Row],[Input Power (mW)]]</f>
        <v>1.7426190253466929</v>
      </c>
      <c r="E5" s="8">
        <f>Table1[[#This Row],[SAR_head (mW/kg)]]*10^3/Table1[[#This Row],[Input Power (mW)]]</f>
        <v>1.4955254510765392</v>
      </c>
      <c r="F5" s="8">
        <f>Table1[[#This Row],[SAR_trunk (mW/kg)]]*10^3/Table1[[#This Row],[Input Power (mW)]]</f>
        <v>1.9257048406206552</v>
      </c>
      <c r="G5" s="8">
        <f>Table1[[#This Row],[psSAR10g_eyes (mW/kg)]]*10^3/Table1[[#This Row],[Input Power (mW)]]</f>
        <v>6.6031365812384646</v>
      </c>
      <c r="H5" s="8">
        <f>Table1[[#This Row],[psSAR10g_skin (mW/kg)]]*10^3/Table1[[#This Row],[Input Power (mW)]]</f>
        <v>34.964181201874418</v>
      </c>
      <c r="I5" s="8">
        <f>Table1[[#This Row],[psSAR10g_brain (mW/kg)]]*10^3/Table1[[#This Row],[Input Power (mW)]]</f>
        <v>16.063855292514493</v>
      </c>
      <c r="J5" s="8">
        <f>Table1[[#This Row],[SAR_brain (mW/kg)]]*10^3/Table1[[#This Row],[Input Power (mW)]]</f>
        <v>0.86352426073033706</v>
      </c>
    </row>
    <row r="6" spans="1:10" ht="15.75" customHeight="1" x14ac:dyDescent="0.35">
      <c r="A6" s="5">
        <v>700</v>
      </c>
      <c r="B6" s="5" t="s">
        <v>13</v>
      </c>
      <c r="C6" s="5">
        <v>1</v>
      </c>
      <c r="D6" s="9">
        <f>Table1[[#This Row],[SAR_wholebody (mW/kg)]]*10^3/Table1[[#This Row],[Input Power (mW)]]</f>
        <v>0.65993487396814599</v>
      </c>
      <c r="E6" s="9">
        <f>Table1[[#This Row],[SAR_head (mW/kg)]]*10^3/Table1[[#This Row],[Input Power (mW)]]</f>
        <v>1.0661076151135769</v>
      </c>
      <c r="F6" s="9">
        <f>Table1[[#This Row],[SAR_trunk (mW/kg)]]*10^3/Table1[[#This Row],[Input Power (mW)]]</f>
        <v>0.39532979715183147</v>
      </c>
      <c r="G6" s="9">
        <f>Table1[[#This Row],[psSAR10g_eyes (mW/kg)]]*10^3/Table1[[#This Row],[Input Power (mW)]]</f>
        <v>9.9898713727057675</v>
      </c>
      <c r="H6" s="9">
        <f>Table1[[#This Row],[psSAR10g_skin (mW/kg)]]*10^3/Table1[[#This Row],[Input Power (mW)]]</f>
        <v>9.9898713727057675</v>
      </c>
      <c r="I6" s="9">
        <f>Table1[[#This Row],[psSAR10g_brain (mW/kg)]]*10^3/Table1[[#This Row],[Input Power (mW)]]</f>
        <v>9.3379520392373792</v>
      </c>
      <c r="J6" s="9">
        <f>Table1[[#This Row],[SAR_brain (mW/kg)]]*10^3/Table1[[#This Row],[Input Power (mW)]]</f>
        <v>0.97475801488352054</v>
      </c>
    </row>
    <row r="7" spans="1:10" ht="15.75" customHeight="1" x14ac:dyDescent="0.35">
      <c r="A7" s="4">
        <v>700</v>
      </c>
      <c r="B7" s="4" t="s">
        <v>14</v>
      </c>
      <c r="C7" s="4">
        <v>1</v>
      </c>
      <c r="D7" s="8">
        <f>Table1[[#This Row],[SAR_wholebody (mW/kg)]]*10^3/Table1[[#This Row],[Input Power (mW)]]</f>
        <v>1.6398404375900524</v>
      </c>
      <c r="E7" s="8">
        <f>Table1[[#This Row],[SAR_head (mW/kg)]]*10^3/Table1[[#This Row],[Input Power (mW)]]</f>
        <v>2.0691097895083406</v>
      </c>
      <c r="F7" s="8">
        <f>Table1[[#This Row],[SAR_trunk (mW/kg)]]*10^3/Table1[[#This Row],[Input Power (mW)]]</f>
        <v>1.5539191221775133</v>
      </c>
      <c r="G7" s="8">
        <f>Table1[[#This Row],[psSAR10g_eyes (mW/kg)]]*10^3/Table1[[#This Row],[Input Power (mW)]]</f>
        <v>11.933762195773784</v>
      </c>
      <c r="H7" s="8">
        <f>Table1[[#This Row],[psSAR10g_skin (mW/kg)]]*10^3/Table1[[#This Row],[Input Power (mW)]]</f>
        <v>43.992394300671911</v>
      </c>
      <c r="I7" s="8">
        <f>Table1[[#This Row],[psSAR10g_brain (mW/kg)]]*10^3/Table1[[#This Row],[Input Power (mW)]]</f>
        <v>19.126871639403259</v>
      </c>
      <c r="J7" s="8">
        <f>Table1[[#This Row],[SAR_brain (mW/kg)]]*10^3/Table1[[#This Row],[Input Power (mW)]]</f>
        <v>1.4648948602861422</v>
      </c>
    </row>
    <row r="8" spans="1:10" ht="15.75" customHeight="1" x14ac:dyDescent="0.35">
      <c r="A8" s="5">
        <v>700</v>
      </c>
      <c r="B8" s="5" t="s">
        <v>15</v>
      </c>
      <c r="C8" s="5">
        <v>1</v>
      </c>
      <c r="D8" s="9">
        <f>Table1[[#This Row],[SAR_wholebody (mW/kg)]]*10^3/Table1[[#This Row],[Input Power (mW)]]</f>
        <v>1.9440551497267116</v>
      </c>
      <c r="E8" s="9">
        <f>Table1[[#This Row],[SAR_head (mW/kg)]]*10^3/Table1[[#This Row],[Input Power (mW)]]</f>
        <v>3.0843645446319363</v>
      </c>
      <c r="F8" s="9">
        <f>Table1[[#This Row],[SAR_trunk (mW/kg)]]*10^3/Table1[[#This Row],[Input Power (mW)]]</f>
        <v>1.3490425370990149</v>
      </c>
      <c r="G8" s="9">
        <f>Table1[[#This Row],[psSAR10g_eyes (mW/kg)]]*10^3/Table1[[#This Row],[Input Power (mW)]]</f>
        <v>16.274126279092659</v>
      </c>
      <c r="H8" s="9">
        <f>Table1[[#This Row],[psSAR10g_skin (mW/kg)]]*10^3/Table1[[#This Row],[Input Power (mW)]]</f>
        <v>29.305585977133447</v>
      </c>
      <c r="I8" s="9">
        <f>Table1[[#This Row],[psSAR10g_brain (mW/kg)]]*10^3/Table1[[#This Row],[Input Power (mW)]]</f>
        <v>20.444863139974046</v>
      </c>
      <c r="J8" s="9">
        <f>Table1[[#This Row],[SAR_brain (mW/kg)]]*10^3/Table1[[#This Row],[Input Power (mW)]]</f>
        <v>3.2000985858179778</v>
      </c>
    </row>
    <row r="9" spans="1:10" ht="15.75" customHeight="1" thickBot="1" x14ac:dyDescent="0.4">
      <c r="A9" s="6">
        <v>700</v>
      </c>
      <c r="B9" s="6" t="s">
        <v>16</v>
      </c>
      <c r="C9" s="6">
        <v>1</v>
      </c>
      <c r="D9" s="10">
        <f>Table1[[#This Row],[SAR_wholebody (mW/kg)]]*10^3/Table1[[#This Row],[Input Power (mW)]]</f>
        <v>1.7296230356584197</v>
      </c>
      <c r="E9" s="10">
        <f>Table1[[#This Row],[SAR_head (mW/kg)]]*10^3/Table1[[#This Row],[Input Power (mW)]]</f>
        <v>2.1141203934631232</v>
      </c>
      <c r="F9" s="10">
        <f>Table1[[#This Row],[SAR_trunk (mW/kg)]]*10^3/Table1[[#This Row],[Input Power (mW)]]</f>
        <v>1.7000535018981648</v>
      </c>
      <c r="G9" s="10">
        <f>Table1[[#This Row],[psSAR10g_eyes (mW/kg)]]*10^3/Table1[[#This Row],[Input Power (mW)]]</f>
        <v>12.055178452315392</v>
      </c>
      <c r="H9" s="10">
        <f>Table1[[#This Row],[psSAR10g_skin (mW/kg)]]*10^3/Table1[[#This Row],[Input Power (mW)]]</f>
        <v>49.369032434979772</v>
      </c>
      <c r="I9" s="10">
        <f>Table1[[#This Row],[psSAR10g_brain (mW/kg)]]*10^3/Table1[[#This Row],[Input Power (mW)]]</f>
        <v>19.421346047866216</v>
      </c>
      <c r="J9" s="10">
        <f>Table1[[#This Row],[SAR_brain (mW/kg)]]*10^3/Table1[[#This Row],[Input Power (mW)]]</f>
        <v>1.3598999426932585</v>
      </c>
    </row>
    <row r="10" spans="1:10" ht="15.75" customHeight="1" x14ac:dyDescent="0.35">
      <c r="A10" s="3">
        <v>835</v>
      </c>
      <c r="B10" s="3" t="s">
        <v>9</v>
      </c>
      <c r="C10" s="3">
        <v>1</v>
      </c>
      <c r="D10" s="7">
        <f>Table1[[#This Row],[SAR_wholebody (mW/kg)]]*10^3/Table1[[#This Row],[Input Power (mW)]]</f>
        <v>4.3594127610874169</v>
      </c>
      <c r="E10" s="7">
        <f>Table1[[#This Row],[SAR_head (mW/kg)]]*10^3/Table1[[#This Row],[Input Power (mW)]]</f>
        <v>7.8044350756059657</v>
      </c>
      <c r="F10" s="7">
        <f>Table1[[#This Row],[SAR_trunk (mW/kg)]]*10^3/Table1[[#This Row],[Input Power (mW)]]</f>
        <v>3.4658723657630572</v>
      </c>
      <c r="G10" s="7">
        <f>Table1[[#This Row],[psSAR10g_eyes (mW/kg)]]*10^3/Table1[[#This Row],[Input Power (mW)]]</f>
        <v>62.199270844449124</v>
      </c>
      <c r="H10" s="7">
        <f>Table1[[#This Row],[psSAR10g_skin (mW/kg)]]*10^3/Table1[[#This Row],[Input Power (mW)]]</f>
        <v>62.199270844449124</v>
      </c>
      <c r="I10" s="7">
        <f>Table1[[#This Row],[psSAR10g_brain (mW/kg)]]*10^3/Table1[[#This Row],[Input Power (mW)]]</f>
        <v>60.090427947448681</v>
      </c>
      <c r="J10" s="7">
        <f>Table1[[#This Row],[SAR_brain (mW/kg)]]*10^3/Table1[[#This Row],[Input Power (mW)]]</f>
        <v>7.3805263468464917</v>
      </c>
    </row>
    <row r="11" spans="1:10" ht="15.75" customHeight="1" x14ac:dyDescent="0.35">
      <c r="A11" s="4">
        <v>835</v>
      </c>
      <c r="B11" s="4" t="s">
        <v>10</v>
      </c>
      <c r="C11" s="4">
        <v>1</v>
      </c>
      <c r="D11" s="8">
        <f>Table1[[#This Row],[SAR_wholebody (mW/kg)]]*10^3/Table1[[#This Row],[Input Power (mW)]]</f>
        <v>4.5538397416981145</v>
      </c>
      <c r="E11" s="8">
        <f>Table1[[#This Row],[SAR_head (mW/kg)]]*10^3/Table1[[#This Row],[Input Power (mW)]]</f>
        <v>6.0206949232644291</v>
      </c>
      <c r="F11" s="8">
        <f>Table1[[#This Row],[SAR_trunk (mW/kg)]]*10^3/Table1[[#This Row],[Input Power (mW)]]</f>
        <v>5.8901183110072379</v>
      </c>
      <c r="G11" s="8">
        <f>Table1[[#This Row],[psSAR10g_eyes (mW/kg)]]*10^3/Table1[[#This Row],[Input Power (mW)]]</f>
        <v>40.709547970158248</v>
      </c>
      <c r="H11" s="8">
        <f>Table1[[#This Row],[psSAR10g_skin (mW/kg)]]*10^3/Table1[[#This Row],[Input Power (mW)]]</f>
        <v>98.994677935880702</v>
      </c>
      <c r="I11" s="8">
        <f>Table1[[#This Row],[psSAR10g_brain (mW/kg)]]*10^3/Table1[[#This Row],[Input Power (mW)]]</f>
        <v>42.885178132004647</v>
      </c>
      <c r="J11" s="8">
        <f>Table1[[#This Row],[SAR_brain (mW/kg)]]*10^3/Table1[[#This Row],[Input Power (mW)]]</f>
        <v>4.6832495431662284</v>
      </c>
    </row>
    <row r="12" spans="1:10" ht="15.75" customHeight="1" x14ac:dyDescent="0.35">
      <c r="A12" s="5">
        <v>835</v>
      </c>
      <c r="B12" s="5" t="s">
        <v>11</v>
      </c>
      <c r="C12" s="5">
        <v>1</v>
      </c>
      <c r="D12" s="9">
        <f>Table1[[#This Row],[SAR_wholebody (mW/kg)]]*10^3/Table1[[#This Row],[Input Power (mW)]]</f>
        <v>4.7074028951636837</v>
      </c>
      <c r="E12" s="9">
        <f>Table1[[#This Row],[SAR_head (mW/kg)]]*10^3/Table1[[#This Row],[Input Power (mW)]]</f>
        <v>6.2359427117575006</v>
      </c>
      <c r="F12" s="9">
        <f>Table1[[#This Row],[SAR_trunk (mW/kg)]]*10^3/Table1[[#This Row],[Input Power (mW)]]</f>
        <v>4.9889542009716665</v>
      </c>
      <c r="G12" s="9">
        <f>Table1[[#This Row],[psSAR10g_eyes (mW/kg)]]*10^3/Table1[[#This Row],[Input Power (mW)]]</f>
        <v>39.027739243279605</v>
      </c>
      <c r="H12" s="9">
        <f>Table1[[#This Row],[psSAR10g_skin (mW/kg)]]*10^3/Table1[[#This Row],[Input Power (mW)]]</f>
        <v>48.67811825431184</v>
      </c>
      <c r="I12" s="9">
        <f>Table1[[#This Row],[psSAR10g_brain (mW/kg)]]*10^3/Table1[[#This Row],[Input Power (mW)]]</f>
        <v>36.367060420227894</v>
      </c>
      <c r="J12" s="9">
        <f>Table1[[#This Row],[SAR_brain (mW/kg)]]*10^3/Table1[[#This Row],[Input Power (mW)]]</f>
        <v>5.5742507057070165</v>
      </c>
    </row>
    <row r="13" spans="1:10" ht="15.75" customHeight="1" x14ac:dyDescent="0.35">
      <c r="A13" s="4">
        <v>835</v>
      </c>
      <c r="B13" s="4" t="s">
        <v>12</v>
      </c>
      <c r="C13" s="4">
        <v>1</v>
      </c>
      <c r="D13" s="8">
        <f>Table1[[#This Row],[SAR_wholebody (mW/kg)]]*10^3/Table1[[#This Row],[Input Power (mW)]]</f>
        <v>4.6244253348243856</v>
      </c>
      <c r="E13" s="8">
        <f>Table1[[#This Row],[SAR_head (mW/kg)]]*10^3/Table1[[#This Row],[Input Power (mW)]]</f>
        <v>3.864758768700649</v>
      </c>
      <c r="F13" s="8">
        <f>Table1[[#This Row],[SAR_trunk (mW/kg)]]*10^3/Table1[[#This Row],[Input Power (mW)]]</f>
        <v>6.3743382498491661</v>
      </c>
      <c r="G13" s="8">
        <f>Table1[[#This Row],[psSAR10g_eyes (mW/kg)]]*10^3/Table1[[#This Row],[Input Power (mW)]]</f>
        <v>22.981812404017852</v>
      </c>
      <c r="H13" s="8">
        <f>Table1[[#This Row],[psSAR10g_skin (mW/kg)]]*10^3/Table1[[#This Row],[Input Power (mW)]]</f>
        <v>65.254795717286839</v>
      </c>
      <c r="I13" s="8">
        <f>Table1[[#This Row],[psSAR10g_brain (mW/kg)]]*10^3/Table1[[#This Row],[Input Power (mW)]]</f>
        <v>21.264657702602019</v>
      </c>
      <c r="J13" s="8">
        <f>Table1[[#This Row],[SAR_brain (mW/kg)]]*10^3/Table1[[#This Row],[Input Power (mW)]]</f>
        <v>2.704465042749562</v>
      </c>
    </row>
    <row r="14" spans="1:10" ht="15.75" customHeight="1" x14ac:dyDescent="0.35">
      <c r="A14" s="5">
        <v>835</v>
      </c>
      <c r="B14" s="5" t="s">
        <v>13</v>
      </c>
      <c r="C14" s="5">
        <v>1</v>
      </c>
      <c r="D14" s="9">
        <f>Table1[[#This Row],[SAR_wholebody (mW/kg)]]*10^3/Table1[[#This Row],[Input Power (mW)]]</f>
        <v>2.3890391572124519</v>
      </c>
      <c r="E14" s="9">
        <f>Table1[[#This Row],[SAR_head (mW/kg)]]*10^3/Table1[[#This Row],[Input Power (mW)]]</f>
        <v>4.3406561053097104</v>
      </c>
      <c r="F14" s="9">
        <f>Table1[[#This Row],[SAR_trunk (mW/kg)]]*10^3/Table1[[#This Row],[Input Power (mW)]]</f>
        <v>2.0773066290285396</v>
      </c>
      <c r="G14" s="9">
        <f>Table1[[#This Row],[psSAR10g_eyes (mW/kg)]]*10^3/Table1[[#This Row],[Input Power (mW)]]</f>
        <v>47.572020401987281</v>
      </c>
      <c r="H14" s="9">
        <f>Table1[[#This Row],[psSAR10g_skin (mW/kg)]]*10^3/Table1[[#This Row],[Input Power (mW)]]</f>
        <v>47.572020401987281</v>
      </c>
      <c r="I14" s="9">
        <f>Table1[[#This Row],[psSAR10g_brain (mW/kg)]]*10^3/Table1[[#This Row],[Input Power (mW)]]</f>
        <v>47.309297289668415</v>
      </c>
      <c r="J14" s="9">
        <f>Table1[[#This Row],[SAR_brain (mW/kg)]]*10^3/Table1[[#This Row],[Input Power (mW)]]</f>
        <v>4.0231907103267543</v>
      </c>
    </row>
    <row r="15" spans="1:10" ht="15.75" customHeight="1" x14ac:dyDescent="0.35">
      <c r="A15" s="4">
        <v>835</v>
      </c>
      <c r="B15" s="4" t="s">
        <v>14</v>
      </c>
      <c r="C15" s="4">
        <v>1</v>
      </c>
      <c r="D15" s="8">
        <f>Table1[[#This Row],[SAR_wholebody (mW/kg)]]*10^3/Table1[[#This Row],[Input Power (mW)]]</f>
        <v>4.4849232933299996</v>
      </c>
      <c r="E15" s="8">
        <f>Table1[[#This Row],[SAR_head (mW/kg)]]*10^3/Table1[[#This Row],[Input Power (mW)]]</f>
        <v>6.3960716514609208</v>
      </c>
      <c r="F15" s="8">
        <f>Table1[[#This Row],[SAR_trunk (mW/kg)]]*10^3/Table1[[#This Row],[Input Power (mW)]]</f>
        <v>5.4006023309750875</v>
      </c>
      <c r="G15" s="8">
        <f>Table1[[#This Row],[psSAR10g_eyes (mW/kg)]]*10^3/Table1[[#This Row],[Input Power (mW)]]</f>
        <v>44.314038152109646</v>
      </c>
      <c r="H15" s="8">
        <f>Table1[[#This Row],[psSAR10g_skin (mW/kg)]]*10^3/Table1[[#This Row],[Input Power (mW)]]</f>
        <v>96.652268905783771</v>
      </c>
      <c r="I15" s="8">
        <f>Table1[[#This Row],[psSAR10g_brain (mW/kg)]]*10^3/Table1[[#This Row],[Input Power (mW)]]</f>
        <v>44.139936191000437</v>
      </c>
      <c r="J15" s="8">
        <f>Table1[[#This Row],[SAR_brain (mW/kg)]]*10^3/Table1[[#This Row],[Input Power (mW)]]</f>
        <v>4.7691696594000001</v>
      </c>
    </row>
    <row r="16" spans="1:10" ht="15.75" customHeight="1" x14ac:dyDescent="0.35">
      <c r="A16" s="5">
        <v>835</v>
      </c>
      <c r="B16" s="5" t="s">
        <v>15</v>
      </c>
      <c r="C16" s="5">
        <v>1</v>
      </c>
      <c r="D16" s="9">
        <f>Table1[[#This Row],[SAR_wholebody (mW/kg)]]*10^3/Table1[[#This Row],[Input Power (mW)]]</f>
        <v>4.3461419277701658</v>
      </c>
      <c r="E16" s="9">
        <f>Table1[[#This Row],[SAR_head (mW/kg)]]*10^3/Table1[[#This Row],[Input Power (mW)]]</f>
        <v>7.6063918472836844</v>
      </c>
      <c r="F16" s="9">
        <f>Table1[[#This Row],[SAR_trunk (mW/kg)]]*10^3/Table1[[#This Row],[Input Power (mW)]]</f>
        <v>3.5810047956697106</v>
      </c>
      <c r="G16" s="9">
        <f>Table1[[#This Row],[psSAR10g_eyes (mW/kg)]]*10^3/Table1[[#This Row],[Input Power (mW)]]</f>
        <v>65.906826030914033</v>
      </c>
      <c r="H16" s="9">
        <f>Table1[[#This Row],[psSAR10g_skin (mW/kg)]]*10^3/Table1[[#This Row],[Input Power (mW)]]</f>
        <v>65.906826030914033</v>
      </c>
      <c r="I16" s="9">
        <f>Table1[[#This Row],[psSAR10g_brain (mW/kg)]]*10^3/Table1[[#This Row],[Input Power (mW)]]</f>
        <v>63.990532774159654</v>
      </c>
      <c r="J16" s="9">
        <f>Table1[[#This Row],[SAR_brain (mW/kg)]]*10^3/Table1[[#This Row],[Input Power (mW)]]</f>
        <v>7.5915324611206136</v>
      </c>
    </row>
    <row r="17" spans="1:10" ht="15.75" customHeight="1" thickBot="1" x14ac:dyDescent="0.4">
      <c r="A17" s="6">
        <v>835</v>
      </c>
      <c r="B17" s="6" t="s">
        <v>16</v>
      </c>
      <c r="C17" s="6">
        <v>1</v>
      </c>
      <c r="D17" s="10">
        <f>Table1[[#This Row],[SAR_wholebody (mW/kg)]]*10^3/Table1[[#This Row],[Input Power (mW)]]</f>
        <v>4.4862104809651315</v>
      </c>
      <c r="E17" s="10">
        <f>Table1[[#This Row],[SAR_head (mW/kg)]]*10^3/Table1[[#This Row],[Input Power (mW)]]</f>
        <v>5.7841614864246056</v>
      </c>
      <c r="F17" s="10">
        <f>Table1[[#This Row],[SAR_trunk (mW/kg)]]*10^3/Table1[[#This Row],[Input Power (mW)]]</f>
        <v>5.8503048519180272</v>
      </c>
      <c r="G17" s="10">
        <f>Table1[[#This Row],[psSAR10g_eyes (mW/kg)]]*10^3/Table1[[#This Row],[Input Power (mW)]]</f>
        <v>39.125805014447458</v>
      </c>
      <c r="H17" s="10">
        <f>Table1[[#This Row],[psSAR10g_skin (mW/kg)]]*10^3/Table1[[#This Row],[Input Power (mW)]]</f>
        <v>96.156288002997357</v>
      </c>
      <c r="I17" s="10">
        <f>Table1[[#This Row],[psSAR10g_brain (mW/kg)]]*10^3/Table1[[#This Row],[Input Power (mW)]]</f>
        <v>39.060347110822235</v>
      </c>
      <c r="J17" s="10">
        <f>Table1[[#This Row],[SAR_brain (mW/kg)]]*10^3/Table1[[#This Row],[Input Power (mW)]]</f>
        <v>4.3756848004175426</v>
      </c>
    </row>
    <row r="18" spans="1:10" ht="15.75" customHeight="1" x14ac:dyDescent="0.35">
      <c r="A18" s="3">
        <v>1450</v>
      </c>
      <c r="B18" s="3" t="s">
        <v>9</v>
      </c>
      <c r="C18" s="3">
        <v>1</v>
      </c>
      <c r="D18" s="7">
        <f>Table1[[#This Row],[SAR_wholebody (mW/kg)]]*10^3/Table1[[#This Row],[Input Power (mW)]]</f>
        <v>2.1533054943515189</v>
      </c>
      <c r="E18" s="7">
        <f>Table1[[#This Row],[SAR_head (mW/kg)]]*10^3/Table1[[#This Row],[Input Power (mW)]]</f>
        <v>8.1019926891831506</v>
      </c>
      <c r="F18" s="7">
        <f>Table1[[#This Row],[SAR_trunk (mW/kg)]]*10^3/Table1[[#This Row],[Input Power (mW)]]</f>
        <v>2.7093690487763582</v>
      </c>
      <c r="G18" s="7">
        <f>Table1[[#This Row],[psSAR10g_eyes (mW/kg)]]*10^3/Table1[[#This Row],[Input Power (mW)]]</f>
        <v>47.660123348668868</v>
      </c>
      <c r="H18" s="7">
        <f>Table1[[#This Row],[psSAR10g_skin (mW/kg)]]*10^3/Table1[[#This Row],[Input Power (mW)]]</f>
        <v>79.886870897586434</v>
      </c>
      <c r="I18" s="7">
        <f>Table1[[#This Row],[psSAR10g_brain (mW/kg)]]*10^3/Table1[[#This Row],[Input Power (mW)]]</f>
        <v>45.455205034845577</v>
      </c>
      <c r="J18" s="7">
        <f>Table1[[#This Row],[SAR_brain (mW/kg)]]*10^3/Table1[[#This Row],[Input Power (mW)]]</f>
        <v>4.0026194203783012</v>
      </c>
    </row>
    <row r="19" spans="1:10" ht="15.75" customHeight="1" x14ac:dyDescent="0.35">
      <c r="A19" s="4">
        <v>1450</v>
      </c>
      <c r="B19" s="4" t="s">
        <v>10</v>
      </c>
      <c r="C19" s="4">
        <v>1</v>
      </c>
      <c r="D19" s="8">
        <f>Table1[[#This Row],[SAR_wholebody (mW/kg)]]*10^3/Table1[[#This Row],[Input Power (mW)]]</f>
        <v>3.2420118000903866</v>
      </c>
      <c r="E19" s="8">
        <f>Table1[[#This Row],[SAR_head (mW/kg)]]*10^3/Table1[[#This Row],[Input Power (mW)]]</f>
        <v>12.14766047563934</v>
      </c>
      <c r="F19" s="8">
        <f>Table1[[#This Row],[SAR_trunk (mW/kg)]]*10^3/Table1[[#This Row],[Input Power (mW)]]</f>
        <v>3.9226984973480379</v>
      </c>
      <c r="G19" s="8">
        <f>Table1[[#This Row],[psSAR10g_eyes (mW/kg)]]*10^3/Table1[[#This Row],[Input Power (mW)]]</f>
        <v>43.44623864770368</v>
      </c>
      <c r="H19" s="8">
        <f>Table1[[#This Row],[psSAR10g_skin (mW/kg)]]*10^3/Table1[[#This Row],[Input Power (mW)]]</f>
        <v>66.251028724211309</v>
      </c>
      <c r="I19" s="8">
        <f>Table1[[#This Row],[psSAR10g_brain (mW/kg)]]*10^3/Table1[[#This Row],[Input Power (mW)]]</f>
        <v>64.799886537977642</v>
      </c>
      <c r="J19" s="8">
        <f>Table1[[#This Row],[SAR_brain (mW/kg)]]*10^3/Table1[[#This Row],[Input Power (mW)]]</f>
        <v>5.5867201924245293</v>
      </c>
    </row>
    <row r="20" spans="1:10" ht="15.75" customHeight="1" x14ac:dyDescent="0.35">
      <c r="A20" s="5">
        <v>1450</v>
      </c>
      <c r="B20" s="5" t="s">
        <v>11</v>
      </c>
      <c r="C20" s="5">
        <v>1</v>
      </c>
      <c r="D20" s="9">
        <f>Table1[[#This Row],[SAR_wholebody (mW/kg)]]*10^3/Table1[[#This Row],[Input Power (mW)]]</f>
        <v>2.5826514791564059</v>
      </c>
      <c r="E20" s="9">
        <f>Table1[[#This Row],[SAR_head (mW/kg)]]*10^3/Table1[[#This Row],[Input Power (mW)]]</f>
        <v>8.975535484470349</v>
      </c>
      <c r="F20" s="9">
        <f>Table1[[#This Row],[SAR_trunk (mW/kg)]]*10^3/Table1[[#This Row],[Input Power (mW)]]</f>
        <v>3.2070177807616695</v>
      </c>
      <c r="G20" s="9">
        <f>Table1[[#This Row],[psSAR10g_eyes (mW/kg)]]*10^3/Table1[[#This Row],[Input Power (mW)]]</f>
        <v>33.711112902397929</v>
      </c>
      <c r="H20" s="9">
        <f>Table1[[#This Row],[psSAR10g_skin (mW/kg)]]*10^3/Table1[[#This Row],[Input Power (mW)]]</f>
        <v>67.112603238410856</v>
      </c>
      <c r="I20" s="9">
        <f>Table1[[#This Row],[psSAR10g_brain (mW/kg)]]*10^3/Table1[[#This Row],[Input Power (mW)]]</f>
        <v>36.522621520171228</v>
      </c>
      <c r="J20" s="9">
        <f>Table1[[#This Row],[SAR_brain (mW/kg)]]*10^3/Table1[[#This Row],[Input Power (mW)]]</f>
        <v>3.5494111713216983</v>
      </c>
    </row>
    <row r="21" spans="1:10" ht="15.75" customHeight="1" x14ac:dyDescent="0.35">
      <c r="A21" s="4">
        <v>1450</v>
      </c>
      <c r="B21" s="4" t="s">
        <v>12</v>
      </c>
      <c r="C21" s="4">
        <v>1</v>
      </c>
      <c r="D21" s="8">
        <f>Table1[[#This Row],[SAR_wholebody (mW/kg)]]*10^3/Table1[[#This Row],[Input Power (mW)]]</f>
        <v>3.7531685841545852</v>
      </c>
      <c r="E21" s="8">
        <f>Table1[[#This Row],[SAR_head (mW/kg)]]*10^3/Table1[[#This Row],[Input Power (mW)]]</f>
        <v>12.930350168174529</v>
      </c>
      <c r="F21" s="8">
        <f>Table1[[#This Row],[SAR_trunk (mW/kg)]]*10^3/Table1[[#This Row],[Input Power (mW)]]</f>
        <v>4.9801286292716034</v>
      </c>
      <c r="G21" s="8">
        <f>Table1[[#This Row],[psSAR10g_eyes (mW/kg)]]*10^3/Table1[[#This Row],[Input Power (mW)]]</f>
        <v>38.271040895596038</v>
      </c>
      <c r="H21" s="8">
        <f>Table1[[#This Row],[psSAR10g_skin (mW/kg)]]*10^3/Table1[[#This Row],[Input Power (mW)]]</f>
        <v>69.837841415616225</v>
      </c>
      <c r="I21" s="8">
        <f>Table1[[#This Row],[psSAR10g_brain (mW/kg)]]*10^3/Table1[[#This Row],[Input Power (mW)]]</f>
        <v>54.157895015729622</v>
      </c>
      <c r="J21" s="8">
        <f>Table1[[#This Row],[SAR_brain (mW/kg)]]*10^3/Table1[[#This Row],[Input Power (mW)]]</f>
        <v>4.6560777616226421</v>
      </c>
    </row>
    <row r="22" spans="1:10" ht="15.75" customHeight="1" x14ac:dyDescent="0.35">
      <c r="A22" s="5">
        <v>1450</v>
      </c>
      <c r="B22" s="5" t="s">
        <v>13</v>
      </c>
      <c r="C22" s="5">
        <v>1</v>
      </c>
      <c r="D22" s="9">
        <f>Table1[[#This Row],[SAR_wholebody (mW/kg)]]*10^3/Table1[[#This Row],[Input Power (mW)]]</f>
        <v>2.0946546986769716</v>
      </c>
      <c r="E22" s="9">
        <f>Table1[[#This Row],[SAR_head (mW/kg)]]*10^3/Table1[[#This Row],[Input Power (mW)]]</f>
        <v>8.3883128110668483</v>
      </c>
      <c r="F22" s="9">
        <f>Table1[[#This Row],[SAR_trunk (mW/kg)]]*10^3/Table1[[#This Row],[Input Power (mW)]]</f>
        <v>2.760137721459472</v>
      </c>
      <c r="G22" s="9">
        <f>Table1[[#This Row],[psSAR10g_eyes (mW/kg)]]*10^3/Table1[[#This Row],[Input Power (mW)]]</f>
        <v>40.178468739799897</v>
      </c>
      <c r="H22" s="9">
        <f>Table1[[#This Row],[psSAR10g_skin (mW/kg)]]*10^3/Table1[[#This Row],[Input Power (mW)]]</f>
        <v>75.285414869019149</v>
      </c>
      <c r="I22" s="9">
        <f>Table1[[#This Row],[psSAR10g_brain (mW/kg)]]*10^3/Table1[[#This Row],[Input Power (mW)]]</f>
        <v>49.333698898570759</v>
      </c>
      <c r="J22" s="9">
        <f>Table1[[#This Row],[SAR_brain (mW/kg)]]*10^3/Table1[[#This Row],[Input Power (mW)]]</f>
        <v>4.4044884753330189</v>
      </c>
    </row>
    <row r="23" spans="1:10" ht="15.75" customHeight="1" x14ac:dyDescent="0.35">
      <c r="A23" s="4">
        <v>1450</v>
      </c>
      <c r="B23" s="4" t="s">
        <v>14</v>
      </c>
      <c r="C23" s="4">
        <v>1</v>
      </c>
      <c r="D23" s="8">
        <f>Table1[[#This Row],[SAR_wholebody (mW/kg)]]*10^3/Table1[[#This Row],[Input Power (mW)]]</f>
        <v>3.1984676841403963</v>
      </c>
      <c r="E23" s="8">
        <f>Table1[[#This Row],[SAR_head (mW/kg)]]*10^3/Table1[[#This Row],[Input Power (mW)]]</f>
        <v>12.644457233236698</v>
      </c>
      <c r="F23" s="8">
        <f>Table1[[#This Row],[SAR_trunk (mW/kg)]]*10^3/Table1[[#This Row],[Input Power (mW)]]</f>
        <v>3.9525129128770282</v>
      </c>
      <c r="G23" s="8">
        <f>Table1[[#This Row],[psSAR10g_eyes (mW/kg)]]*10^3/Table1[[#This Row],[Input Power (mW)]]</f>
        <v>46.68913772325859</v>
      </c>
      <c r="H23" s="8">
        <f>Table1[[#This Row],[psSAR10g_skin (mW/kg)]]*10^3/Table1[[#This Row],[Input Power (mW)]]</f>
        <v>66.459755096691126</v>
      </c>
      <c r="I23" s="8">
        <f>Table1[[#This Row],[psSAR10g_brain (mW/kg)]]*10^3/Table1[[#This Row],[Input Power (mW)]]</f>
        <v>61.556880565877734</v>
      </c>
      <c r="J23" s="8">
        <f>Table1[[#This Row],[SAR_brain (mW/kg)]]*10^3/Table1[[#This Row],[Input Power (mW)]]</f>
        <v>5.3886687902311321</v>
      </c>
    </row>
    <row r="24" spans="1:10" ht="15.75" customHeight="1" x14ac:dyDescent="0.35">
      <c r="A24" s="5">
        <v>1450</v>
      </c>
      <c r="B24" s="5" t="s">
        <v>15</v>
      </c>
      <c r="C24" s="5">
        <v>1</v>
      </c>
      <c r="D24" s="9">
        <f>Table1[[#This Row],[SAR_wholebody (mW/kg)]]*10^3/Table1[[#This Row],[Input Power (mW)]]</f>
        <v>2.1337576134784055</v>
      </c>
      <c r="E24" s="9">
        <f>Table1[[#This Row],[SAR_head (mW/kg)]]*10^3/Table1[[#This Row],[Input Power (mW)]]</f>
        <v>7.9119172645401603</v>
      </c>
      <c r="F24" s="9">
        <f>Table1[[#This Row],[SAR_trunk (mW/kg)]]*10^3/Table1[[#This Row],[Input Power (mW)]]</f>
        <v>2.7208417368163396</v>
      </c>
      <c r="G24" s="9">
        <f>Table1[[#This Row],[psSAR10g_eyes (mW/kg)]]*10^3/Table1[[#This Row],[Input Power (mW)]]</f>
        <v>47.870033274645564</v>
      </c>
      <c r="H24" s="9">
        <f>Table1[[#This Row],[psSAR10g_skin (mW/kg)]]*10^3/Table1[[#This Row],[Input Power (mW)]]</f>
        <v>74.968652586040847</v>
      </c>
      <c r="I24" s="9">
        <f>Table1[[#This Row],[psSAR10g_brain (mW/kg)]]*10^3/Table1[[#This Row],[Input Power (mW)]]</f>
        <v>45.606949088722921</v>
      </c>
      <c r="J24" s="9">
        <f>Table1[[#This Row],[SAR_brain (mW/kg)]]*10^3/Table1[[#This Row],[Input Power (mW)]]</f>
        <v>4.0685113821122645</v>
      </c>
    </row>
    <row r="25" spans="1:10" ht="15.75" customHeight="1" thickBot="1" x14ac:dyDescent="0.4">
      <c r="A25" s="6">
        <v>1450</v>
      </c>
      <c r="B25" s="6" t="s">
        <v>16</v>
      </c>
      <c r="C25" s="6">
        <v>1</v>
      </c>
      <c r="D25" s="10">
        <f>Table1[[#This Row],[SAR_wholebody (mW/kg)]]*10^3/Table1[[#This Row],[Input Power (mW)]]</f>
        <v>3.2504023343869153</v>
      </c>
      <c r="E25" s="10">
        <f>Table1[[#This Row],[SAR_head (mW/kg)]]*10^3/Table1[[#This Row],[Input Power (mW)]]</f>
        <v>12.392188304624812</v>
      </c>
      <c r="F25" s="10">
        <f>Table1[[#This Row],[SAR_trunk (mW/kg)]]*10^3/Table1[[#This Row],[Input Power (mW)]]</f>
        <v>4.3786098071255664</v>
      </c>
      <c r="G25" s="10">
        <f>Table1[[#This Row],[psSAR10g_eyes (mW/kg)]]*10^3/Table1[[#This Row],[Input Power (mW)]]</f>
        <v>42.604917589457926</v>
      </c>
      <c r="H25" s="10">
        <f>Table1[[#This Row],[psSAR10g_skin (mW/kg)]]*10^3/Table1[[#This Row],[Input Power (mW)]]</f>
        <v>65.645462870793963</v>
      </c>
      <c r="I25" s="10">
        <f>Table1[[#This Row],[psSAR10g_brain (mW/kg)]]*10^3/Table1[[#This Row],[Input Power (mW)]]</f>
        <v>65.413719569276978</v>
      </c>
      <c r="J25" s="10">
        <f>Table1[[#This Row],[SAR_brain (mW/kg)]]*10^3/Table1[[#This Row],[Input Power (mW)]]</f>
        <v>5.6050820197009434</v>
      </c>
    </row>
    <row r="26" spans="1:10" ht="15.75" customHeight="1" x14ac:dyDescent="0.35">
      <c r="A26" s="3">
        <v>2140</v>
      </c>
      <c r="B26" s="3" t="s">
        <v>9</v>
      </c>
      <c r="C26" s="3">
        <v>1</v>
      </c>
      <c r="D26" s="7">
        <f>Table1[[#This Row],[SAR_wholebody (mW/kg)]]*10^3/Table1[[#This Row],[Input Power (mW)]]</f>
        <v>3.272228288818321</v>
      </c>
      <c r="E26" s="7">
        <f>Table1[[#This Row],[SAR_head (mW/kg)]]*10^3/Table1[[#This Row],[Input Power (mW)]]</f>
        <v>13.232611362166669</v>
      </c>
      <c r="F26" s="7">
        <f>Table1[[#This Row],[SAR_trunk (mW/kg)]]*10^3/Table1[[#This Row],[Input Power (mW)]]</f>
        <v>4.2185073280592693</v>
      </c>
      <c r="G26" s="7">
        <f>Table1[[#This Row],[psSAR10g_eyes (mW/kg)]]*10^3/Table1[[#This Row],[Input Power (mW)]]</f>
        <v>40.926898093154364</v>
      </c>
      <c r="H26" s="7">
        <f>Table1[[#This Row],[psSAR10g_skin (mW/kg)]]*10^3/Table1[[#This Row],[Input Power (mW)]]</f>
        <v>128.53365182687435</v>
      </c>
      <c r="I26" s="7">
        <f>Table1[[#This Row],[psSAR10g_brain (mW/kg)]]*10^3/Table1[[#This Row],[Input Power (mW)]]</f>
        <v>71.566239158431415</v>
      </c>
      <c r="J26" s="7">
        <f>Table1[[#This Row],[SAR_brain (mW/kg)]]*10^3/Table1[[#This Row],[Input Power (mW)]]</f>
        <v>3.9811269498000001</v>
      </c>
    </row>
    <row r="27" spans="1:10" ht="15.75" customHeight="1" x14ac:dyDescent="0.35">
      <c r="A27" s="4">
        <v>2140</v>
      </c>
      <c r="B27" s="4" t="s">
        <v>10</v>
      </c>
      <c r="C27" s="4">
        <v>1</v>
      </c>
      <c r="D27" s="8">
        <f>Table1[[#This Row],[SAR_wholebody (mW/kg)]]*10^3/Table1[[#This Row],[Input Power (mW)]]</f>
        <v>4.4490272196744485</v>
      </c>
      <c r="E27" s="8">
        <f>Table1[[#This Row],[SAR_head (mW/kg)]]*10^3/Table1[[#This Row],[Input Power (mW)]]</f>
        <v>17.847107158921798</v>
      </c>
      <c r="F27" s="8">
        <f>Table1[[#This Row],[SAR_trunk (mW/kg)]]*10^3/Table1[[#This Row],[Input Power (mW)]]</f>
        <v>5.1431416736244104</v>
      </c>
      <c r="G27" s="8">
        <f>Table1[[#This Row],[psSAR10g_eyes (mW/kg)]]*10^3/Table1[[#This Row],[Input Power (mW)]]</f>
        <v>54.999824996347307</v>
      </c>
      <c r="H27" s="8">
        <f>Table1[[#This Row],[psSAR10g_skin (mW/kg)]]*10^3/Table1[[#This Row],[Input Power (mW)]]</f>
        <v>99.54607106228859</v>
      </c>
      <c r="I27" s="8">
        <f>Table1[[#This Row],[psSAR10g_brain (mW/kg)]]*10^3/Table1[[#This Row],[Input Power (mW)]]</f>
        <v>73.026610656101667</v>
      </c>
      <c r="J27" s="8">
        <f>Table1[[#This Row],[SAR_brain (mW/kg)]]*10^3/Table1[[#This Row],[Input Power (mW)]]</f>
        <v>5.5396143198923085</v>
      </c>
    </row>
    <row r="28" spans="1:10" ht="15.75" customHeight="1" x14ac:dyDescent="0.35">
      <c r="A28" s="5">
        <v>2140</v>
      </c>
      <c r="B28" s="5" t="s">
        <v>11</v>
      </c>
      <c r="C28" s="5">
        <v>1</v>
      </c>
      <c r="D28" s="9">
        <f>Table1[[#This Row],[SAR_wholebody (mW/kg)]]*10^3/Table1[[#This Row],[Input Power (mW)]]</f>
        <v>3.7667085122750894</v>
      </c>
      <c r="E28" s="9">
        <f>Table1[[#This Row],[SAR_head (mW/kg)]]*10^3/Table1[[#This Row],[Input Power (mW)]]</f>
        <v>12.732145960699333</v>
      </c>
      <c r="F28" s="9">
        <f>Table1[[#This Row],[SAR_trunk (mW/kg)]]*10^3/Table1[[#This Row],[Input Power (mW)]]</f>
        <v>4.4741655529029867</v>
      </c>
      <c r="G28" s="9">
        <f>Table1[[#This Row],[psSAR10g_eyes (mW/kg)]]*10^3/Table1[[#This Row],[Input Power (mW)]]</f>
        <v>25.329676423122436</v>
      </c>
      <c r="H28" s="9">
        <f>Table1[[#This Row],[psSAR10g_skin (mW/kg)]]*10^3/Table1[[#This Row],[Input Power (mW)]]</f>
        <v>84.737042257065639</v>
      </c>
      <c r="I28" s="9">
        <f>Table1[[#This Row],[psSAR10g_brain (mW/kg)]]*10^3/Table1[[#This Row],[Input Power (mW)]]</f>
        <v>41.850531037488977</v>
      </c>
      <c r="J28" s="9">
        <f>Table1[[#This Row],[SAR_brain (mW/kg)]]*10^3/Table1[[#This Row],[Input Power (mW)]]</f>
        <v>2.5842850415858973</v>
      </c>
    </row>
    <row r="29" spans="1:10" ht="15.75" customHeight="1" x14ac:dyDescent="0.35">
      <c r="A29" s="4">
        <v>2140</v>
      </c>
      <c r="B29" s="4" t="s">
        <v>12</v>
      </c>
      <c r="C29" s="4">
        <v>1</v>
      </c>
      <c r="D29" s="8">
        <f>Table1[[#This Row],[SAR_wholebody (mW/kg)]]*10^3/Table1[[#This Row],[Input Power (mW)]]</f>
        <v>5.1737025675597179</v>
      </c>
      <c r="E29" s="8">
        <f>Table1[[#This Row],[SAR_head (mW/kg)]]*10^3/Table1[[#This Row],[Input Power (mW)]]</f>
        <v>17.704969535900513</v>
      </c>
      <c r="F29" s="8">
        <f>Table1[[#This Row],[SAR_trunk (mW/kg)]]*10^3/Table1[[#This Row],[Input Power (mW)]]</f>
        <v>6.2156726895141281</v>
      </c>
      <c r="G29" s="8">
        <f>Table1[[#This Row],[psSAR10g_eyes (mW/kg)]]*10^3/Table1[[#This Row],[Input Power (mW)]]</f>
        <v>44.978846080256531</v>
      </c>
      <c r="H29" s="8">
        <f>Table1[[#This Row],[psSAR10g_skin (mW/kg)]]*10^3/Table1[[#This Row],[Input Power (mW)]]</f>
        <v>93.600474167097829</v>
      </c>
      <c r="I29" s="8">
        <f>Table1[[#This Row],[psSAR10g_brain (mW/kg)]]*10^3/Table1[[#This Row],[Input Power (mW)]]</f>
        <v>63.027705049862689</v>
      </c>
      <c r="J29" s="8">
        <f>Table1[[#This Row],[SAR_brain (mW/kg)]]*10^3/Table1[[#This Row],[Input Power (mW)]]</f>
        <v>4.7147395285038458</v>
      </c>
    </row>
    <row r="30" spans="1:10" ht="15.75" customHeight="1" x14ac:dyDescent="0.35">
      <c r="A30" s="5">
        <v>2140</v>
      </c>
      <c r="B30" s="5" t="s">
        <v>13</v>
      </c>
      <c r="C30" s="5">
        <v>1</v>
      </c>
      <c r="D30" s="9">
        <f>Table1[[#This Row],[SAR_wholebody (mW/kg)]]*10^3/Table1[[#This Row],[Input Power (mW)]]</f>
        <v>3.2574554866375385</v>
      </c>
      <c r="E30" s="9">
        <f>Table1[[#This Row],[SAR_head (mW/kg)]]*10^3/Table1[[#This Row],[Input Power (mW)]]</f>
        <v>12.031793845789576</v>
      </c>
      <c r="F30" s="9">
        <f>Table1[[#This Row],[SAR_trunk (mW/kg)]]*10^3/Table1[[#This Row],[Input Power (mW)]]</f>
        <v>4.1437754080847053</v>
      </c>
      <c r="G30" s="9">
        <f>Table1[[#This Row],[psSAR10g_eyes (mW/kg)]]*10^3/Table1[[#This Row],[Input Power (mW)]]</f>
        <v>50.026305338289745</v>
      </c>
      <c r="H30" s="9">
        <f>Table1[[#This Row],[psSAR10g_skin (mW/kg)]]*10^3/Table1[[#This Row],[Input Power (mW)]]</f>
        <v>135.90725983668716</v>
      </c>
      <c r="I30" s="9">
        <f>Table1[[#This Row],[psSAR10g_brain (mW/kg)]]*10^3/Table1[[#This Row],[Input Power (mW)]]</f>
        <v>74.702993490916668</v>
      </c>
      <c r="J30" s="9">
        <f>Table1[[#This Row],[SAR_brain (mW/kg)]]*10^3/Table1[[#This Row],[Input Power (mW)]]</f>
        <v>4.2431381776320523</v>
      </c>
    </row>
    <row r="31" spans="1:10" ht="15.75" customHeight="1" x14ac:dyDescent="0.35">
      <c r="A31" s="4">
        <v>2140</v>
      </c>
      <c r="B31" s="4" t="s">
        <v>14</v>
      </c>
      <c r="C31" s="4">
        <v>1</v>
      </c>
      <c r="D31" s="8">
        <f>Table1[[#This Row],[SAR_wholebody (mW/kg)]]*10^3/Table1[[#This Row],[Input Power (mW)]]</f>
        <v>4.4457682114004236</v>
      </c>
      <c r="E31" s="8">
        <f>Table1[[#This Row],[SAR_head (mW/kg)]]*10^3/Table1[[#This Row],[Input Power (mW)]]</f>
        <v>17.778449843286921</v>
      </c>
      <c r="F31" s="8">
        <f>Table1[[#This Row],[SAR_trunk (mW/kg)]]*10^3/Table1[[#This Row],[Input Power (mW)]]</f>
        <v>5.1514805759243467</v>
      </c>
      <c r="G31" s="8">
        <f>Table1[[#This Row],[psSAR10g_eyes (mW/kg)]]*10^3/Table1[[#This Row],[Input Power (mW)]]</f>
        <v>53.150102423453461</v>
      </c>
      <c r="H31" s="8">
        <f>Table1[[#This Row],[psSAR10g_skin (mW/kg)]]*10^3/Table1[[#This Row],[Input Power (mW)]]</f>
        <v>100.47391102221397</v>
      </c>
      <c r="I31" s="8">
        <f>Table1[[#This Row],[psSAR10g_brain (mW/kg)]]*10^3/Table1[[#This Row],[Input Power (mW)]]</f>
        <v>69.088352123256399</v>
      </c>
      <c r="J31" s="8">
        <f>Table1[[#This Row],[SAR_brain (mW/kg)]]*10^3/Table1[[#This Row],[Input Power (mW)]]</f>
        <v>5.4279609204666661</v>
      </c>
    </row>
    <row r="32" spans="1:10" ht="15.75" customHeight="1" x14ac:dyDescent="0.35">
      <c r="A32" s="5">
        <v>2140</v>
      </c>
      <c r="B32" s="5" t="s">
        <v>15</v>
      </c>
      <c r="C32" s="5">
        <v>1</v>
      </c>
      <c r="D32" s="9">
        <f>Table1[[#This Row],[SAR_wholebody (mW/kg)]]*10^3/Table1[[#This Row],[Input Power (mW)]]</f>
        <v>3.2897404129783081</v>
      </c>
      <c r="E32" s="9">
        <f>Table1[[#This Row],[SAR_head (mW/kg)]]*10^3/Table1[[#This Row],[Input Power (mW)]]</f>
        <v>11.87855348620891</v>
      </c>
      <c r="F32" s="9">
        <f>Table1[[#This Row],[SAR_trunk (mW/kg)]]*10^3/Table1[[#This Row],[Input Power (mW)]]</f>
        <v>3.9870358378786794</v>
      </c>
      <c r="G32" s="9">
        <f>Table1[[#This Row],[psSAR10g_eyes (mW/kg)]]*10^3/Table1[[#This Row],[Input Power (mW)]]</f>
        <v>40.416341177791409</v>
      </c>
      <c r="H32" s="9">
        <f>Table1[[#This Row],[psSAR10g_skin (mW/kg)]]*10^3/Table1[[#This Row],[Input Power (mW)]]</f>
        <v>126.29949329426371</v>
      </c>
      <c r="I32" s="9">
        <f>Table1[[#This Row],[psSAR10g_brain (mW/kg)]]*10^3/Table1[[#This Row],[Input Power (mW)]]</f>
        <v>70.0958534400514</v>
      </c>
      <c r="J32" s="9">
        <f>Table1[[#This Row],[SAR_brain (mW/kg)]]*10^3/Table1[[#This Row],[Input Power (mW)]]</f>
        <v>3.8319317298500004</v>
      </c>
    </row>
    <row r="33" spans="1:10" ht="15.75" customHeight="1" thickBot="1" x14ac:dyDescent="0.4">
      <c r="A33" s="6">
        <v>2140</v>
      </c>
      <c r="B33" s="6" t="s">
        <v>16</v>
      </c>
      <c r="C33" s="6">
        <v>1</v>
      </c>
      <c r="D33" s="10">
        <f>Table1[[#This Row],[SAR_wholebody (mW/kg)]]*10^3/Table1[[#This Row],[Input Power (mW)]]</f>
        <v>4.3719048623835119</v>
      </c>
      <c r="E33" s="10">
        <f>Table1[[#This Row],[SAR_head (mW/kg)]]*10^3/Table1[[#This Row],[Input Power (mW)]]</f>
        <v>16.397691628524488</v>
      </c>
      <c r="F33" s="10">
        <f>Table1[[#This Row],[SAR_trunk (mW/kg)]]*10^3/Table1[[#This Row],[Input Power (mW)]]</f>
        <v>5.6991775447211541</v>
      </c>
      <c r="G33" s="10">
        <f>Table1[[#This Row],[psSAR10g_eyes (mW/kg)]]*10^3/Table1[[#This Row],[Input Power (mW)]]</f>
        <v>57.903636712772695</v>
      </c>
      <c r="H33" s="10">
        <f>Table1[[#This Row],[psSAR10g_skin (mW/kg)]]*10^3/Table1[[#This Row],[Input Power (mW)]]</f>
        <v>95.548355349192306</v>
      </c>
      <c r="I33" s="10">
        <f>Table1[[#This Row],[psSAR10g_brain (mW/kg)]]*10^3/Table1[[#This Row],[Input Power (mW)]]</f>
        <v>72.86983082636128</v>
      </c>
      <c r="J33" s="10">
        <f>Table1[[#This Row],[SAR_brain (mW/kg)]]*10^3/Table1[[#This Row],[Input Power (mW)]]</f>
        <v>5.3881923434666668</v>
      </c>
    </row>
    <row r="34" spans="1:10" ht="15.75" customHeight="1" x14ac:dyDescent="0.35">
      <c r="A34" s="3">
        <v>2450</v>
      </c>
      <c r="B34" s="3" t="s">
        <v>9</v>
      </c>
      <c r="C34" s="3">
        <v>1</v>
      </c>
      <c r="D34" s="7">
        <f>Table1[[#This Row],[SAR_wholebody (mW/kg)]]*10^3/Table1[[#This Row],[Input Power (mW)]]</f>
        <v>3.3988263054501617</v>
      </c>
      <c r="E34" s="7">
        <f>Table1[[#This Row],[SAR_head (mW/kg)]]*10^3/Table1[[#This Row],[Input Power (mW)]]</f>
        <v>15.473662581910133</v>
      </c>
      <c r="F34" s="7">
        <f>Table1[[#This Row],[SAR_trunk (mW/kg)]]*10^3/Table1[[#This Row],[Input Power (mW)]]</f>
        <v>5.2187419884017565</v>
      </c>
      <c r="G34" s="7">
        <f>Table1[[#This Row],[psSAR10g_eyes (mW/kg)]]*10^3/Table1[[#This Row],[Input Power (mW)]]</f>
        <v>58.046860774266491</v>
      </c>
      <c r="H34" s="7">
        <f>Table1[[#This Row],[psSAR10g_skin (mW/kg)]]*10^3/Table1[[#This Row],[Input Power (mW)]]</f>
        <v>184.18097263676219</v>
      </c>
      <c r="I34" s="7">
        <f>Table1[[#This Row],[psSAR10g_brain (mW/kg)]]*10^3/Table1[[#This Row],[Input Power (mW)]]</f>
        <v>53.767597123267024</v>
      </c>
      <c r="J34" s="7">
        <f>Table1[[#This Row],[SAR_brain (mW/kg)]]*10^3/Table1[[#This Row],[Input Power (mW)]]</f>
        <v>4.0392880606554051</v>
      </c>
    </row>
    <row r="35" spans="1:10" ht="15.75" customHeight="1" x14ac:dyDescent="0.35">
      <c r="A35" s="4">
        <v>2450</v>
      </c>
      <c r="B35" s="4" t="s">
        <v>10</v>
      </c>
      <c r="C35" s="4">
        <v>1</v>
      </c>
      <c r="D35" s="8">
        <f>Table1[[#This Row],[SAR_wholebody (mW/kg)]]*10^3/Table1[[#This Row],[Input Power (mW)]]</f>
        <v>5.0617166129807032</v>
      </c>
      <c r="E35" s="8">
        <f>Table1[[#This Row],[SAR_head (mW/kg)]]*10^3/Table1[[#This Row],[Input Power (mW)]]</f>
        <v>21.386676607871895</v>
      </c>
      <c r="F35" s="8">
        <f>Table1[[#This Row],[SAR_trunk (mW/kg)]]*10^3/Table1[[#This Row],[Input Power (mW)]]</f>
        <v>7.9907757176812293</v>
      </c>
      <c r="G35" s="8">
        <f>Table1[[#This Row],[psSAR10g_eyes (mW/kg)]]*10^3/Table1[[#This Row],[Input Power (mW)]]</f>
        <v>69.764823458945273</v>
      </c>
      <c r="H35" s="8">
        <f>Table1[[#This Row],[psSAR10g_skin (mW/kg)]]*10^3/Table1[[#This Row],[Input Power (mW)]]</f>
        <v>138.3948732112554</v>
      </c>
      <c r="I35" s="8">
        <f>Table1[[#This Row],[psSAR10g_brain (mW/kg)]]*10^3/Table1[[#This Row],[Input Power (mW)]]</f>
        <v>72.654743562753509</v>
      </c>
      <c r="J35" s="8">
        <f>Table1[[#This Row],[SAR_brain (mW/kg)]]*10^3/Table1[[#This Row],[Input Power (mW)]]</f>
        <v>5.8810620365891886</v>
      </c>
    </row>
    <row r="36" spans="1:10" ht="15.75" customHeight="1" x14ac:dyDescent="0.35">
      <c r="A36" s="5">
        <v>2450</v>
      </c>
      <c r="B36" s="5" t="s">
        <v>11</v>
      </c>
      <c r="C36" s="5">
        <v>1</v>
      </c>
      <c r="D36" s="9">
        <f>Table1[[#This Row],[SAR_wholebody (mW/kg)]]*10^3/Table1[[#This Row],[Input Power (mW)]]</f>
        <v>3.8607530818975673</v>
      </c>
      <c r="E36" s="9">
        <f>Table1[[#This Row],[SAR_head (mW/kg)]]*10^3/Table1[[#This Row],[Input Power (mW)]]</f>
        <v>15.924215788232976</v>
      </c>
      <c r="F36" s="9">
        <f>Table1[[#This Row],[SAR_trunk (mW/kg)]]*10^3/Table1[[#This Row],[Input Power (mW)]]</f>
        <v>5.9655744358236493</v>
      </c>
      <c r="G36" s="9">
        <f>Table1[[#This Row],[psSAR10g_eyes (mW/kg)]]*10^3/Table1[[#This Row],[Input Power (mW)]]</f>
        <v>33.673294155341615</v>
      </c>
      <c r="H36" s="9">
        <f>Table1[[#This Row],[psSAR10g_skin (mW/kg)]]*10^3/Table1[[#This Row],[Input Power (mW)]]</f>
        <v>96.816842500374861</v>
      </c>
      <c r="I36" s="9">
        <f>Table1[[#This Row],[psSAR10g_brain (mW/kg)]]*10^3/Table1[[#This Row],[Input Power (mW)]]</f>
        <v>47.273062049258243</v>
      </c>
      <c r="J36" s="9">
        <f>Table1[[#This Row],[SAR_brain (mW/kg)]]*10^3/Table1[[#This Row],[Input Power (mW)]]</f>
        <v>2.6936866472459462</v>
      </c>
    </row>
    <row r="37" spans="1:10" ht="15.75" customHeight="1" x14ac:dyDescent="0.35">
      <c r="A37" s="4">
        <v>2450</v>
      </c>
      <c r="B37" s="4" t="s">
        <v>12</v>
      </c>
      <c r="C37" s="4">
        <v>1</v>
      </c>
      <c r="D37" s="8">
        <f>Table1[[#This Row],[SAR_wholebody (mW/kg)]]*10^3/Table1[[#This Row],[Input Power (mW)]]</f>
        <v>5.5357243954406359</v>
      </c>
      <c r="E37" s="8">
        <f>Table1[[#This Row],[SAR_head (mW/kg)]]*10^3/Table1[[#This Row],[Input Power (mW)]]</f>
        <v>21.820179312677432</v>
      </c>
      <c r="F37" s="8">
        <f>Table1[[#This Row],[SAR_trunk (mW/kg)]]*10^3/Table1[[#This Row],[Input Power (mW)]]</f>
        <v>8.7932513234967562</v>
      </c>
      <c r="G37" s="8">
        <f>Table1[[#This Row],[psSAR10g_eyes (mW/kg)]]*10^3/Table1[[#This Row],[Input Power (mW)]]</f>
        <v>53.223040471311492</v>
      </c>
      <c r="H37" s="8">
        <f>Table1[[#This Row],[psSAR10g_skin (mW/kg)]]*10^3/Table1[[#This Row],[Input Power (mW)]]</f>
        <v>130.05632917287636</v>
      </c>
      <c r="I37" s="8">
        <f>Table1[[#This Row],[psSAR10g_brain (mW/kg)]]*10^3/Table1[[#This Row],[Input Power (mW)]]</f>
        <v>57.439263925111746</v>
      </c>
      <c r="J37" s="8">
        <f>Table1[[#This Row],[SAR_brain (mW/kg)]]*10^3/Table1[[#This Row],[Input Power (mW)]]</f>
        <v>4.4558102212499993</v>
      </c>
    </row>
    <row r="38" spans="1:10" ht="15.75" customHeight="1" x14ac:dyDescent="0.35">
      <c r="A38" s="5">
        <v>2450</v>
      </c>
      <c r="B38" s="5" t="s">
        <v>13</v>
      </c>
      <c r="C38" s="5">
        <v>1</v>
      </c>
      <c r="D38" s="9">
        <f>Table1[[#This Row],[SAR_wholebody (mW/kg)]]*10^3/Table1[[#This Row],[Input Power (mW)]]</f>
        <v>3.3294282854110677</v>
      </c>
      <c r="E38" s="9">
        <f>Table1[[#This Row],[SAR_head (mW/kg)]]*10^3/Table1[[#This Row],[Input Power (mW)]]</f>
        <v>14.696261904478378</v>
      </c>
      <c r="F38" s="9">
        <f>Table1[[#This Row],[SAR_trunk (mW/kg)]]*10^3/Table1[[#This Row],[Input Power (mW)]]</f>
        <v>5.2590613067782437</v>
      </c>
      <c r="G38" s="9">
        <f>Table1[[#This Row],[psSAR10g_eyes (mW/kg)]]*10^3/Table1[[#This Row],[Input Power (mW)]]</f>
        <v>73.047493153549055</v>
      </c>
      <c r="H38" s="9">
        <f>Table1[[#This Row],[psSAR10g_skin (mW/kg)]]*10^3/Table1[[#This Row],[Input Power (mW)]]</f>
        <v>190.8978354481419</v>
      </c>
      <c r="I38" s="9">
        <f>Table1[[#This Row],[psSAR10g_brain (mW/kg)]]*10^3/Table1[[#This Row],[Input Power (mW)]]</f>
        <v>65.725649257474998</v>
      </c>
      <c r="J38" s="9">
        <f>Table1[[#This Row],[SAR_brain (mW/kg)]]*10^3/Table1[[#This Row],[Input Power (mW)]]</f>
        <v>4.0942346314270273</v>
      </c>
    </row>
    <row r="39" spans="1:10" ht="15.75" customHeight="1" x14ac:dyDescent="0.35">
      <c r="A39" s="4">
        <v>2450</v>
      </c>
      <c r="B39" s="4" t="s">
        <v>14</v>
      </c>
      <c r="C39" s="4">
        <v>1</v>
      </c>
      <c r="D39" s="8">
        <f>Table1[[#This Row],[SAR_wholebody (mW/kg)]]*10^3/Table1[[#This Row],[Input Power (mW)]]</f>
        <v>5.1029925483962701</v>
      </c>
      <c r="E39" s="8">
        <f>Table1[[#This Row],[SAR_head (mW/kg)]]*10^3/Table1[[#This Row],[Input Power (mW)]]</f>
        <v>22.345697529786083</v>
      </c>
      <c r="F39" s="8">
        <f>Table1[[#This Row],[SAR_trunk (mW/kg)]]*10^3/Table1[[#This Row],[Input Power (mW)]]</f>
        <v>7.3617577724638519</v>
      </c>
      <c r="G39" s="8">
        <f>Table1[[#This Row],[psSAR10g_eyes (mW/kg)]]*10^3/Table1[[#This Row],[Input Power (mW)]]</f>
        <v>71.950180684217159</v>
      </c>
      <c r="H39" s="8">
        <f>Table1[[#This Row],[psSAR10g_skin (mW/kg)]]*10^3/Table1[[#This Row],[Input Power (mW)]]</f>
        <v>133.32335535165095</v>
      </c>
      <c r="I39" s="8">
        <f>Table1[[#This Row],[psSAR10g_brain (mW/kg)]]*10^3/Table1[[#This Row],[Input Power (mW)]]</f>
        <v>74.405711985426748</v>
      </c>
      <c r="J39" s="8">
        <f>Table1[[#This Row],[SAR_brain (mW/kg)]]*10^3/Table1[[#This Row],[Input Power (mW)]]</f>
        <v>5.6434676040499996</v>
      </c>
    </row>
    <row r="40" spans="1:10" ht="15.75" customHeight="1" x14ac:dyDescent="0.35">
      <c r="A40" s="5">
        <v>2450</v>
      </c>
      <c r="B40" s="5" t="s">
        <v>15</v>
      </c>
      <c r="C40" s="5">
        <v>1</v>
      </c>
      <c r="D40" s="9">
        <f>Table1[[#This Row],[SAR_wholebody (mW/kg)]]*10^3/Table1[[#This Row],[Input Power (mW)]]</f>
        <v>3.4217758310045001</v>
      </c>
      <c r="E40" s="9">
        <f>Table1[[#This Row],[SAR_head (mW/kg)]]*10^3/Table1[[#This Row],[Input Power (mW)]]</f>
        <v>13.546177835968649</v>
      </c>
      <c r="F40" s="9">
        <f>Table1[[#This Row],[SAR_trunk (mW/kg)]]*10^3/Table1[[#This Row],[Input Power (mW)]]</f>
        <v>5.4729500550225811</v>
      </c>
      <c r="G40" s="9">
        <f>Table1[[#This Row],[psSAR10g_eyes (mW/kg)]]*10^3/Table1[[#This Row],[Input Power (mW)]]</f>
        <v>63.26710354684176</v>
      </c>
      <c r="H40" s="9">
        <f>Table1[[#This Row],[psSAR10g_skin (mW/kg)]]*10^3/Table1[[#This Row],[Input Power (mW)]]</f>
        <v>173.72322684689595</v>
      </c>
      <c r="I40" s="9">
        <f>Table1[[#This Row],[psSAR10g_brain (mW/kg)]]*10^3/Table1[[#This Row],[Input Power (mW)]]</f>
        <v>59.11261663811203</v>
      </c>
      <c r="J40" s="9">
        <f>Table1[[#This Row],[SAR_brain (mW/kg)]]*10^3/Table1[[#This Row],[Input Power (mW)]]</f>
        <v>3.7560170722918911</v>
      </c>
    </row>
    <row r="41" spans="1:10" ht="15.75" customHeight="1" thickBot="1" x14ac:dyDescent="0.4">
      <c r="A41" s="6">
        <v>2450</v>
      </c>
      <c r="B41" s="6" t="s">
        <v>16</v>
      </c>
      <c r="C41" s="6">
        <v>1</v>
      </c>
      <c r="D41" s="10">
        <f>Table1[[#This Row],[SAR_wholebody (mW/kg)]]*10^3/Table1[[#This Row],[Input Power (mW)]]</f>
        <v>5.020199706395541</v>
      </c>
      <c r="E41" s="10">
        <f>Table1[[#This Row],[SAR_head (mW/kg)]]*10^3/Table1[[#This Row],[Input Power (mW)]]</f>
        <v>21.820216464408109</v>
      </c>
      <c r="F41" s="10">
        <f>Table1[[#This Row],[SAR_trunk (mW/kg)]]*10^3/Table1[[#This Row],[Input Power (mW)]]</f>
        <v>8.2231775078511085</v>
      </c>
      <c r="G41" s="10">
        <f>Table1[[#This Row],[psSAR10g_eyes (mW/kg)]]*10^3/Table1[[#This Row],[Input Power (mW)]]</f>
        <v>74.01262719411001</v>
      </c>
      <c r="H41" s="10">
        <f>Table1[[#This Row],[psSAR10g_skin (mW/kg)]]*10^3/Table1[[#This Row],[Input Power (mW)]]</f>
        <v>137.18258525871082</v>
      </c>
      <c r="I41" s="10">
        <f>Table1[[#This Row],[psSAR10g_brain (mW/kg)]]*10^3/Table1[[#This Row],[Input Power (mW)]]</f>
        <v>78.476070414584868</v>
      </c>
      <c r="J41" s="10">
        <f>Table1[[#This Row],[SAR_brain (mW/kg)]]*10^3/Table1[[#This Row],[Input Power (mW)]]</f>
        <v>5.8008327623689198</v>
      </c>
    </row>
    <row r="42" spans="1:10" ht="15.75" customHeight="1" x14ac:dyDescent="0.35">
      <c r="A42" s="3">
        <v>3500</v>
      </c>
      <c r="B42" s="3" t="s">
        <v>9</v>
      </c>
      <c r="C42" s="3">
        <v>1</v>
      </c>
      <c r="D42" s="7">
        <f>Table1[[#This Row],[SAR_wholebody (mW/kg)]]*10^3/Table1[[#This Row],[Input Power (mW)]]</f>
        <v>2.0013985260550364</v>
      </c>
      <c r="E42" s="7">
        <f>Table1[[#This Row],[SAR_head (mW/kg)]]*10^3/Table1[[#This Row],[Input Power (mW)]]</f>
        <v>10.8160405556148</v>
      </c>
      <c r="F42" s="7">
        <f>Table1[[#This Row],[SAR_trunk (mW/kg)]]*10^3/Table1[[#This Row],[Input Power (mW)]]</f>
        <v>1.7605295024446164</v>
      </c>
      <c r="G42" s="7">
        <f>Table1[[#This Row],[psSAR10g_eyes (mW/kg)]]*10^3/Table1[[#This Row],[Input Power (mW)]]</f>
        <v>73.138534771786183</v>
      </c>
      <c r="H42" s="7">
        <f>Table1[[#This Row],[psSAR10g_skin (mW/kg)]]*10^3/Table1[[#This Row],[Input Power (mW)]]</f>
        <v>118.94236834102364</v>
      </c>
      <c r="I42" s="7">
        <f>Table1[[#This Row],[psSAR10g_brain (mW/kg)]]*10^3/Table1[[#This Row],[Input Power (mW)]]</f>
        <v>75.92425033132983</v>
      </c>
      <c r="J42" s="7">
        <f>Table1[[#This Row],[SAR_brain (mW/kg)]]*10^3/Table1[[#This Row],[Input Power (mW)]]</f>
        <v>3.1225676928709092</v>
      </c>
    </row>
    <row r="43" spans="1:10" ht="15.75" customHeight="1" x14ac:dyDescent="0.35">
      <c r="A43" s="4">
        <v>3500</v>
      </c>
      <c r="B43" s="4" t="s">
        <v>10</v>
      </c>
      <c r="C43" s="4">
        <v>1</v>
      </c>
      <c r="D43" s="8">
        <f>Table1[[#This Row],[SAR_wholebody (mW/kg)]]*10^3/Table1[[#This Row],[Input Power (mW)]]</f>
        <v>4.0385334904761816</v>
      </c>
      <c r="E43" s="8">
        <f>Table1[[#This Row],[SAR_head (mW/kg)]]*10^3/Table1[[#This Row],[Input Power (mW)]]</f>
        <v>18.460012708279269</v>
      </c>
      <c r="F43" s="8">
        <f>Table1[[#This Row],[SAR_trunk (mW/kg)]]*10^3/Table1[[#This Row],[Input Power (mW)]]</f>
        <v>3.6826938692926179</v>
      </c>
      <c r="G43" s="8">
        <f>Table1[[#This Row],[psSAR10g_eyes (mW/kg)]]*10^3/Table1[[#This Row],[Input Power (mW)]]</f>
        <v>56.943137598034546</v>
      </c>
      <c r="H43" s="8">
        <f>Table1[[#This Row],[psSAR10g_skin (mW/kg)]]*10^3/Table1[[#This Row],[Input Power (mW)]]</f>
        <v>103.40711649611673</v>
      </c>
      <c r="I43" s="8">
        <f>Table1[[#This Row],[psSAR10g_brain (mW/kg)]]*10^3/Table1[[#This Row],[Input Power (mW)]]</f>
        <v>60.356548796400368</v>
      </c>
      <c r="J43" s="8">
        <f>Table1[[#This Row],[SAR_brain (mW/kg)]]*10^3/Table1[[#This Row],[Input Power (mW)]]</f>
        <v>2.1369015149036366</v>
      </c>
    </row>
    <row r="44" spans="1:10" ht="15.75" customHeight="1" x14ac:dyDescent="0.35">
      <c r="A44" s="5">
        <v>3500</v>
      </c>
      <c r="B44" s="5" t="s">
        <v>11</v>
      </c>
      <c r="C44" s="5">
        <v>1</v>
      </c>
      <c r="D44" s="9">
        <f>Table1[[#This Row],[SAR_wholebody (mW/kg)]]*10^3/Table1[[#This Row],[Input Power (mW)]]</f>
        <v>2.4189611253745453</v>
      </c>
      <c r="E44" s="9">
        <f>Table1[[#This Row],[SAR_head (mW/kg)]]*10^3/Table1[[#This Row],[Input Power (mW)]]</f>
        <v>11.308273469839348</v>
      </c>
      <c r="F44" s="9">
        <f>Table1[[#This Row],[SAR_trunk (mW/kg)]]*10^3/Table1[[#This Row],[Input Power (mW)]]</f>
        <v>2.2489859662216545</v>
      </c>
      <c r="G44" s="9">
        <f>Table1[[#This Row],[psSAR10g_eyes (mW/kg)]]*10^3/Table1[[#This Row],[Input Power (mW)]]</f>
        <v>78.485101769316174</v>
      </c>
      <c r="H44" s="9">
        <f>Table1[[#This Row],[psSAR10g_skin (mW/kg)]]*10^3/Table1[[#This Row],[Input Power (mW)]]</f>
        <v>147.36871123019981</v>
      </c>
      <c r="I44" s="9">
        <f>Table1[[#This Row],[psSAR10g_brain (mW/kg)]]*10^3/Table1[[#This Row],[Input Power (mW)]]</f>
        <v>66.144194433836901</v>
      </c>
      <c r="J44" s="9">
        <f>Table1[[#This Row],[SAR_brain (mW/kg)]]*10^3/Table1[[#This Row],[Input Power (mW)]]</f>
        <v>2.0368715459054543</v>
      </c>
    </row>
    <row r="45" spans="1:10" ht="15.75" customHeight="1" x14ac:dyDescent="0.35">
      <c r="A45" s="4">
        <v>3500</v>
      </c>
      <c r="B45" s="4" t="s">
        <v>12</v>
      </c>
      <c r="C45" s="4">
        <v>1</v>
      </c>
      <c r="D45" s="8">
        <f>Table1[[#This Row],[SAR_wholebody (mW/kg)]]*10^3/Table1[[#This Row],[Input Power (mW)]]</f>
        <v>4.0293819833233639</v>
      </c>
      <c r="E45" s="8">
        <f>Table1[[#This Row],[SAR_head (mW/kg)]]*10^3/Table1[[#This Row],[Input Power (mW)]]</f>
        <v>18.073507736218708</v>
      </c>
      <c r="F45" s="8">
        <f>Table1[[#This Row],[SAR_trunk (mW/kg)]]*10^3/Table1[[#This Row],[Input Power (mW)]]</f>
        <v>3.5941872174977632</v>
      </c>
      <c r="G45" s="8">
        <f>Table1[[#This Row],[psSAR10g_eyes (mW/kg)]]*10^3/Table1[[#This Row],[Input Power (mW)]]</f>
        <v>44.898250059173449</v>
      </c>
      <c r="H45" s="8">
        <f>Table1[[#This Row],[psSAR10g_skin (mW/kg)]]*10^3/Table1[[#This Row],[Input Power (mW)]]</f>
        <v>67.376440992843456</v>
      </c>
      <c r="I45" s="8">
        <f>Table1[[#This Row],[psSAR10g_brain (mW/kg)]]*10^3/Table1[[#This Row],[Input Power (mW)]]</f>
        <v>44.898250059173449</v>
      </c>
      <c r="J45" s="8">
        <f>Table1[[#This Row],[SAR_brain (mW/kg)]]*10^3/Table1[[#This Row],[Input Power (mW)]]</f>
        <v>1.6625720825244938</v>
      </c>
    </row>
    <row r="46" spans="1:10" ht="15.75" customHeight="1" x14ac:dyDescent="0.35">
      <c r="A46" s="5">
        <v>3500</v>
      </c>
      <c r="B46" s="5" t="s">
        <v>13</v>
      </c>
      <c r="C46" s="5">
        <v>1</v>
      </c>
      <c r="D46" s="9">
        <f>Table1[[#This Row],[SAR_wholebody (mW/kg)]]*10^3/Table1[[#This Row],[Input Power (mW)]]</f>
        <v>1.965259313122218</v>
      </c>
      <c r="E46" s="9">
        <f>Table1[[#This Row],[SAR_head (mW/kg)]]*10^3/Table1[[#This Row],[Input Power (mW)]]</f>
        <v>9.4551499931565264</v>
      </c>
      <c r="F46" s="9">
        <f>Table1[[#This Row],[SAR_trunk (mW/kg)]]*10^3/Table1[[#This Row],[Input Power (mW)]]</f>
        <v>1.6430616044505402</v>
      </c>
      <c r="G46" s="9">
        <f>Table1[[#This Row],[psSAR10g_eyes (mW/kg)]]*10^3/Table1[[#This Row],[Input Power (mW)]]</f>
        <v>66.363003282975455</v>
      </c>
      <c r="H46" s="9">
        <f>Table1[[#This Row],[psSAR10g_skin (mW/kg)]]*10^3/Table1[[#This Row],[Input Power (mW)]]</f>
        <v>114.34502423713236</v>
      </c>
      <c r="I46" s="9">
        <f>Table1[[#This Row],[psSAR10g_brain (mW/kg)]]*10^3/Table1[[#This Row],[Input Power (mW)]]</f>
        <v>85.197228882993102</v>
      </c>
      <c r="J46" s="9">
        <f>Table1[[#This Row],[SAR_brain (mW/kg)]]*10^3/Table1[[#This Row],[Input Power (mW)]]</f>
        <v>3.334227943196364</v>
      </c>
    </row>
    <row r="47" spans="1:10" ht="15.75" customHeight="1" x14ac:dyDescent="0.35">
      <c r="A47" s="4">
        <v>3500</v>
      </c>
      <c r="B47" s="4" t="s">
        <v>14</v>
      </c>
      <c r="C47" s="4">
        <v>1</v>
      </c>
      <c r="D47" s="8">
        <f>Table1[[#This Row],[SAR_wholebody (mW/kg)]]*10^3/Table1[[#This Row],[Input Power (mW)]]</f>
        <v>3.7070884068419452</v>
      </c>
      <c r="E47" s="8">
        <f>Table1[[#This Row],[SAR_head (mW/kg)]]*10^3/Table1[[#This Row],[Input Power (mW)]]</f>
        <v>16.0331185549148</v>
      </c>
      <c r="F47" s="8">
        <f>Table1[[#This Row],[SAR_trunk (mW/kg)]]*10^3/Table1[[#This Row],[Input Power (mW)]]</f>
        <v>3.6899910898391086</v>
      </c>
      <c r="G47" s="8">
        <f>Table1[[#This Row],[psSAR10g_eyes (mW/kg)]]*10^3/Table1[[#This Row],[Input Power (mW)]]</f>
        <v>42.068892715487088</v>
      </c>
      <c r="H47" s="8">
        <f>Table1[[#This Row],[psSAR10g_skin (mW/kg)]]*10^3/Table1[[#This Row],[Input Power (mW)]]</f>
        <v>80.206534625547633</v>
      </c>
      <c r="I47" s="8">
        <f>Table1[[#This Row],[psSAR10g_brain (mW/kg)]]*10^3/Table1[[#This Row],[Input Power (mW)]]</f>
        <v>45.922430421474367</v>
      </c>
      <c r="J47" s="8">
        <f>Table1[[#This Row],[SAR_brain (mW/kg)]]*10^3/Table1[[#This Row],[Input Power (mW)]]</f>
        <v>1.7953709051582794</v>
      </c>
    </row>
    <row r="48" spans="1:10" ht="15.75" customHeight="1" x14ac:dyDescent="0.35">
      <c r="A48" s="5">
        <v>3500</v>
      </c>
      <c r="B48" s="5" t="s">
        <v>15</v>
      </c>
      <c r="C48" s="5">
        <v>1</v>
      </c>
      <c r="D48" s="9">
        <f>Table1[[#This Row],[SAR_wholebody (mW/kg)]]*10^3/Table1[[#This Row],[Input Power (mW)]]</f>
        <v>2.0702200898916363</v>
      </c>
      <c r="E48" s="9">
        <f>Table1[[#This Row],[SAR_head (mW/kg)]]*10^3/Table1[[#This Row],[Input Power (mW)]]</f>
        <v>11.065930287249673</v>
      </c>
      <c r="F48" s="9">
        <f>Table1[[#This Row],[SAR_trunk (mW/kg)]]*10^3/Table1[[#This Row],[Input Power (mW)]]</f>
        <v>1.7145385006118692</v>
      </c>
      <c r="G48" s="9">
        <f>Table1[[#This Row],[psSAR10g_eyes (mW/kg)]]*10^3/Table1[[#This Row],[Input Power (mW)]]</f>
        <v>82.735932294721081</v>
      </c>
      <c r="H48" s="9">
        <f>Table1[[#This Row],[psSAR10g_skin (mW/kg)]]*10^3/Table1[[#This Row],[Input Power (mW)]]</f>
        <v>123.384775490198</v>
      </c>
      <c r="I48" s="9">
        <f>Table1[[#This Row],[psSAR10g_brain (mW/kg)]]*10^3/Table1[[#This Row],[Input Power (mW)]]</f>
        <v>81.381982027128714</v>
      </c>
      <c r="J48" s="9">
        <f>Table1[[#This Row],[SAR_brain (mW/kg)]]*10^3/Table1[[#This Row],[Input Power (mW)]]</f>
        <v>3.2192625784309086</v>
      </c>
    </row>
    <row r="49" spans="1:10" ht="15.75" customHeight="1" thickBot="1" x14ac:dyDescent="0.4">
      <c r="A49" s="6">
        <v>3500</v>
      </c>
      <c r="B49" s="6" t="s">
        <v>16</v>
      </c>
      <c r="C49" s="6">
        <v>1</v>
      </c>
      <c r="D49" s="10">
        <f>Table1[[#This Row],[SAR_wholebody (mW/kg)]]*10^3/Table1[[#This Row],[Input Power (mW)]]</f>
        <v>4.3642316066122362</v>
      </c>
      <c r="E49" s="10">
        <f>Table1[[#This Row],[SAR_head (mW/kg)]]*10^3/Table1[[#This Row],[Input Power (mW)]]</f>
        <v>18.857085589197091</v>
      </c>
      <c r="F49" s="10">
        <f>Table1[[#This Row],[SAR_trunk (mW/kg)]]*10^3/Table1[[#This Row],[Input Power (mW)]]</f>
        <v>3.9708455836558363</v>
      </c>
      <c r="G49" s="10">
        <f>Table1[[#This Row],[psSAR10g_eyes (mW/kg)]]*10^3/Table1[[#This Row],[Input Power (mW)]]</f>
        <v>61.247731527880553</v>
      </c>
      <c r="H49" s="10">
        <f>Table1[[#This Row],[psSAR10g_skin (mW/kg)]]*10^3/Table1[[#This Row],[Input Power (mW)]]</f>
        <v>126.71359531424946</v>
      </c>
      <c r="I49" s="10">
        <f>Table1[[#This Row],[psSAR10g_brain (mW/kg)]]*10^3/Table1[[#This Row],[Input Power (mW)]]</f>
        <v>65.49487284673036</v>
      </c>
      <c r="J49" s="10">
        <f>Table1[[#This Row],[SAR_brain (mW/kg)]]*10^3/Table1[[#This Row],[Input Power (mW)]]</f>
        <v>2.3661899894381819</v>
      </c>
    </row>
    <row r="50" spans="1:10" ht="15.75" customHeight="1" x14ac:dyDescent="0.35">
      <c r="A50" s="3">
        <v>5200</v>
      </c>
      <c r="B50" s="3" t="s">
        <v>9</v>
      </c>
      <c r="C50" s="3">
        <v>1</v>
      </c>
      <c r="D50" s="7">
        <f>Table1[[#This Row],[SAR_wholebody (mW/kg)]]*10^3/Table1[[#This Row],[Input Power (mW)]]</f>
        <v>1.8565868735227831</v>
      </c>
      <c r="E50" s="7">
        <f>Table1[[#This Row],[SAR_head (mW/kg)]]*10^3/Table1[[#This Row],[Input Power (mW)]]</f>
        <v>5.5443420706880948</v>
      </c>
      <c r="F50" s="7">
        <f>Table1[[#This Row],[SAR_trunk (mW/kg)]]*10^3/Table1[[#This Row],[Input Power (mW)]]</f>
        <v>1.8516731614105888</v>
      </c>
      <c r="G50" s="7">
        <f>Table1[[#This Row],[psSAR10g_eyes (mW/kg)]]*10^3/Table1[[#This Row],[Input Power (mW)]]</f>
        <v>29.745782327680189</v>
      </c>
      <c r="H50" s="7">
        <f>Table1[[#This Row],[psSAR10g_skin (mW/kg)]]*10^3/Table1[[#This Row],[Input Power (mW)]]</f>
        <v>76.678449628729823</v>
      </c>
      <c r="I50" s="7">
        <f>Table1[[#This Row],[psSAR10g_brain (mW/kg)]]*10^3/Table1[[#This Row],[Input Power (mW)]]</f>
        <v>57.032362671545663</v>
      </c>
      <c r="J50" s="7">
        <f>Table1[[#This Row],[SAR_brain (mW/kg)]]*10^3/Table1[[#This Row],[Input Power (mW)]]</f>
        <v>0.93377267492739924</v>
      </c>
    </row>
    <row r="51" spans="1:10" ht="15.75" customHeight="1" x14ac:dyDescent="0.35">
      <c r="A51" s="4">
        <v>5200</v>
      </c>
      <c r="B51" s="4" t="s">
        <v>10</v>
      </c>
      <c r="C51" s="4">
        <v>1</v>
      </c>
      <c r="D51" s="8">
        <f>Table1[[#This Row],[SAR_wholebody (mW/kg)]]*10^3/Table1[[#This Row],[Input Power (mW)]]</f>
        <v>2.5254791566459058</v>
      </c>
      <c r="E51" s="8">
        <f>Table1[[#This Row],[SAR_head (mW/kg)]]*10^3/Table1[[#This Row],[Input Power (mW)]]</f>
        <v>6.7725530301662085</v>
      </c>
      <c r="F51" s="8">
        <f>Table1[[#This Row],[SAR_trunk (mW/kg)]]*10^3/Table1[[#This Row],[Input Power (mW)]]</f>
        <v>2.3996133906472643</v>
      </c>
      <c r="G51" s="8">
        <f>Table1[[#This Row],[psSAR10g_eyes (mW/kg)]]*10^3/Table1[[#This Row],[Input Power (mW)]]</f>
        <v>57.092989986443961</v>
      </c>
      <c r="H51" s="8">
        <f>Table1[[#This Row],[psSAR10g_skin (mW/kg)]]*10^3/Table1[[#This Row],[Input Power (mW)]]</f>
        <v>80.083509532786778</v>
      </c>
      <c r="I51" s="8">
        <f>Table1[[#This Row],[psSAR10g_brain (mW/kg)]]*10^3/Table1[[#This Row],[Input Power (mW)]]</f>
        <v>51.659652528735847</v>
      </c>
      <c r="J51" s="8">
        <f>Table1[[#This Row],[SAR_brain (mW/kg)]]*10^3/Table1[[#This Row],[Input Power (mW)]]</f>
        <v>0.60683606398403789</v>
      </c>
    </row>
    <row r="52" spans="1:10" ht="15.75" customHeight="1" x14ac:dyDescent="0.35">
      <c r="A52" s="5">
        <v>5200</v>
      </c>
      <c r="B52" s="5" t="s">
        <v>11</v>
      </c>
      <c r="C52" s="5">
        <v>1</v>
      </c>
      <c r="D52" s="9">
        <f>Table1[[#This Row],[SAR_wholebody (mW/kg)]]*10^3/Table1[[#This Row],[Input Power (mW)]]</f>
        <v>2.2059326622622453</v>
      </c>
      <c r="E52" s="9">
        <f>Table1[[#This Row],[SAR_head (mW/kg)]]*10^3/Table1[[#This Row],[Input Power (mW)]]</f>
        <v>6.3632670560860385</v>
      </c>
      <c r="F52" s="9">
        <f>Table1[[#This Row],[SAR_trunk (mW/kg)]]*10^3/Table1[[#This Row],[Input Power (mW)]]</f>
        <v>2.4109534001773962</v>
      </c>
      <c r="G52" s="9">
        <f>Table1[[#This Row],[psSAR10g_eyes (mW/kg)]]*10^3/Table1[[#This Row],[Input Power (mW)]]</f>
        <v>66.057216070797921</v>
      </c>
      <c r="H52" s="9">
        <f>Table1[[#This Row],[psSAR10g_skin (mW/kg)]]*10^3/Table1[[#This Row],[Input Power (mW)]]</f>
        <v>106.62036479727793</v>
      </c>
      <c r="I52" s="9">
        <f>Table1[[#This Row],[psSAR10g_brain (mW/kg)]]*10^3/Table1[[#This Row],[Input Power (mW)]]</f>
        <v>82.986811759941887</v>
      </c>
      <c r="J52" s="9">
        <f>Table1[[#This Row],[SAR_brain (mW/kg)]]*10^3/Table1[[#This Row],[Input Power (mW)]]</f>
        <v>1.0852268433175076</v>
      </c>
    </row>
    <row r="53" spans="1:10" ht="15.75" customHeight="1" x14ac:dyDescent="0.35">
      <c r="A53" s="4">
        <v>5200</v>
      </c>
      <c r="B53" s="4" t="s">
        <v>12</v>
      </c>
      <c r="C53" s="4">
        <v>1</v>
      </c>
      <c r="D53" s="8">
        <f>Table1[[#This Row],[SAR_wholebody (mW/kg)]]*10^3/Table1[[#This Row],[Input Power (mW)]]</f>
        <v>2.7144732980319057</v>
      </c>
      <c r="E53" s="8">
        <f>Table1[[#This Row],[SAR_head (mW/kg)]]*10^3/Table1[[#This Row],[Input Power (mW)]]</f>
        <v>7.5451554377839436</v>
      </c>
      <c r="F53" s="8">
        <f>Table1[[#This Row],[SAR_trunk (mW/kg)]]*10^3/Table1[[#This Row],[Input Power (mW)]]</f>
        <v>2.7086032029492828</v>
      </c>
      <c r="G53" s="8">
        <f>Table1[[#This Row],[psSAR10g_eyes (mW/kg)]]*10^3/Table1[[#This Row],[Input Power (mW)]]</f>
        <v>46.572392981864525</v>
      </c>
      <c r="H53" s="8">
        <f>Table1[[#This Row],[psSAR10g_skin (mW/kg)]]*10^3/Table1[[#This Row],[Input Power (mW)]]</f>
        <v>89.487796100220763</v>
      </c>
      <c r="I53" s="8">
        <f>Table1[[#This Row],[psSAR10g_brain (mW/kg)]]*10^3/Table1[[#This Row],[Input Power (mW)]]</f>
        <v>39.286929432315475</v>
      </c>
      <c r="J53" s="8">
        <f>Table1[[#This Row],[SAR_brain (mW/kg)]]*10^3/Table1[[#This Row],[Input Power (mW)]]</f>
        <v>0.44639525590037515</v>
      </c>
    </row>
    <row r="54" spans="1:10" ht="15.75" customHeight="1" x14ac:dyDescent="0.35">
      <c r="A54" s="5">
        <v>5200</v>
      </c>
      <c r="B54" s="5" t="s">
        <v>13</v>
      </c>
      <c r="C54" s="5">
        <v>1</v>
      </c>
      <c r="D54" s="9">
        <f>Table1[[#This Row],[SAR_wholebody (mW/kg)]]*10^3/Table1[[#This Row],[Input Power (mW)]]</f>
        <v>1.7885915347082979</v>
      </c>
      <c r="E54" s="9">
        <f>Table1[[#This Row],[SAR_head (mW/kg)]]*10^3/Table1[[#This Row],[Input Power (mW)]]</f>
        <v>5.2881241120330573</v>
      </c>
      <c r="F54" s="9">
        <f>Table1[[#This Row],[SAR_trunk (mW/kg)]]*10^3/Table1[[#This Row],[Input Power (mW)]]</f>
        <v>1.8162626904003227</v>
      </c>
      <c r="G54" s="9">
        <f>Table1[[#This Row],[psSAR10g_eyes (mW/kg)]]*10^3/Table1[[#This Row],[Input Power (mW)]]</f>
        <v>25.589396725132453</v>
      </c>
      <c r="H54" s="9">
        <f>Table1[[#This Row],[psSAR10g_skin (mW/kg)]]*10^3/Table1[[#This Row],[Input Power (mW)]]</f>
        <v>84.117432800322447</v>
      </c>
      <c r="I54" s="9">
        <f>Table1[[#This Row],[psSAR10g_brain (mW/kg)]]*10^3/Table1[[#This Row],[Input Power (mW)]]</f>
        <v>51.720775322622266</v>
      </c>
      <c r="J54" s="9">
        <f>Table1[[#This Row],[SAR_brain (mW/kg)]]*10^3/Table1[[#This Row],[Input Power (mW)]]</f>
        <v>0.92246447768439221</v>
      </c>
    </row>
    <row r="55" spans="1:10" ht="15.75" customHeight="1" x14ac:dyDescent="0.35">
      <c r="A55" s="4">
        <v>5200</v>
      </c>
      <c r="B55" s="4" t="s">
        <v>14</v>
      </c>
      <c r="C55" s="4">
        <v>1</v>
      </c>
      <c r="D55" s="8">
        <f>Table1[[#This Row],[SAR_wholebody (mW/kg)]]*10^3/Table1[[#This Row],[Input Power (mW)]]</f>
        <v>2.5325818477930002</v>
      </c>
      <c r="E55" s="8">
        <f>Table1[[#This Row],[SAR_head (mW/kg)]]*10^3/Table1[[#This Row],[Input Power (mW)]]</f>
        <v>6.9674024794858678</v>
      </c>
      <c r="F55" s="8">
        <f>Table1[[#This Row],[SAR_trunk (mW/kg)]]*10^3/Table1[[#This Row],[Input Power (mW)]]</f>
        <v>2.5541636805126982</v>
      </c>
      <c r="G55" s="8">
        <f>Table1[[#This Row],[psSAR10g_eyes (mW/kg)]]*10^3/Table1[[#This Row],[Input Power (mW)]]</f>
        <v>56.036034692016976</v>
      </c>
      <c r="H55" s="8">
        <f>Table1[[#This Row],[psSAR10g_skin (mW/kg)]]*10^3/Table1[[#This Row],[Input Power (mW)]]</f>
        <v>116.77479244540548</v>
      </c>
      <c r="I55" s="8">
        <f>Table1[[#This Row],[psSAR10g_brain (mW/kg)]]*10^3/Table1[[#This Row],[Input Power (mW)]]</f>
        <v>57.896076996053026</v>
      </c>
      <c r="J55" s="8">
        <f>Table1[[#This Row],[SAR_brain (mW/kg)]]*10^3/Table1[[#This Row],[Input Power (mW)]]</f>
        <v>0.58816662658464325</v>
      </c>
    </row>
    <row r="56" spans="1:10" ht="15.75" customHeight="1" x14ac:dyDescent="0.35">
      <c r="A56" s="5">
        <v>5200</v>
      </c>
      <c r="B56" s="5" t="s">
        <v>15</v>
      </c>
      <c r="C56" s="5">
        <v>1</v>
      </c>
      <c r="D56" s="9">
        <f>Table1[[#This Row],[SAR_wholebody (mW/kg)]]*10^3/Table1[[#This Row],[Input Power (mW)]]</f>
        <v>1.9171054589349434</v>
      </c>
      <c r="E56" s="9">
        <f>Table1[[#This Row],[SAR_head (mW/kg)]]*10^3/Table1[[#This Row],[Input Power (mW)]]</f>
        <v>5.9491180978562452</v>
      </c>
      <c r="F56" s="9">
        <f>Table1[[#This Row],[SAR_trunk (mW/kg)]]*10^3/Table1[[#This Row],[Input Power (mW)]]</f>
        <v>1.8955151608331886</v>
      </c>
      <c r="G56" s="9">
        <f>Table1[[#This Row],[psSAR10g_eyes (mW/kg)]]*10^3/Table1[[#This Row],[Input Power (mW)]]</f>
        <v>40.636330153806611</v>
      </c>
      <c r="H56" s="9">
        <f>Table1[[#This Row],[psSAR10g_skin (mW/kg)]]*10^3/Table1[[#This Row],[Input Power (mW)]]</f>
        <v>82.192996078523208</v>
      </c>
      <c r="I56" s="9">
        <f>Table1[[#This Row],[psSAR10g_brain (mW/kg)]]*10^3/Table1[[#This Row],[Input Power (mW)]]</f>
        <v>60.278340986656232</v>
      </c>
      <c r="J56" s="9">
        <f>Table1[[#This Row],[SAR_brain (mW/kg)]]*10^3/Table1[[#This Row],[Input Power (mW)]]</f>
        <v>1.067245747810841</v>
      </c>
    </row>
    <row r="57" spans="1:10" ht="15.75" customHeight="1" thickBot="1" x14ac:dyDescent="0.4">
      <c r="A57" s="6">
        <v>5200</v>
      </c>
      <c r="B57" s="6" t="s">
        <v>16</v>
      </c>
      <c r="C57" s="6">
        <v>1</v>
      </c>
      <c r="D57" s="10">
        <f>Table1[[#This Row],[SAR_wholebody (mW/kg)]]*10^3/Table1[[#This Row],[Input Power (mW)]]</f>
        <v>2.5591976035786228</v>
      </c>
      <c r="E57" s="10">
        <f>Table1[[#This Row],[SAR_head (mW/kg)]]*10^3/Table1[[#This Row],[Input Power (mW)]]</f>
        <v>6.7704945593007544</v>
      </c>
      <c r="F57" s="10">
        <f>Table1[[#This Row],[SAR_trunk (mW/kg)]]*10^3/Table1[[#This Row],[Input Power (mW)]]</f>
        <v>2.6538358478357167</v>
      </c>
      <c r="G57" s="10">
        <f>Table1[[#This Row],[psSAR10g_eyes (mW/kg)]]*10^3/Table1[[#This Row],[Input Power (mW)]]</f>
        <v>44.173954895214521</v>
      </c>
      <c r="H57" s="10">
        <f>Table1[[#This Row],[psSAR10g_skin (mW/kg)]]*10^3/Table1[[#This Row],[Input Power (mW)]]</f>
        <v>53.397041112056037</v>
      </c>
      <c r="I57" s="10">
        <f>Table1[[#This Row],[psSAR10g_brain (mW/kg)]]*10^3/Table1[[#This Row],[Input Power (mW)]]</f>
        <v>39.410108451354901</v>
      </c>
      <c r="J57" s="10">
        <f>Table1[[#This Row],[SAR_brain (mW/kg)]]*10^3/Table1[[#This Row],[Input Power (mW)]]</f>
        <v>0.67162367940799406</v>
      </c>
    </row>
    <row r="58" spans="1:10" ht="15.75" customHeight="1" x14ac:dyDescent="0.35">
      <c r="A58" s="3">
        <v>5800</v>
      </c>
      <c r="B58" s="3" t="s">
        <v>9</v>
      </c>
      <c r="C58" s="3">
        <v>1</v>
      </c>
      <c r="D58" s="7">
        <f>Table1[[#This Row],[SAR_wholebody (mW/kg)]]*10^3/Table1[[#This Row],[Input Power (mW)]]</f>
        <v>1.9092909601662038</v>
      </c>
      <c r="E58" s="7">
        <f>Table1[[#This Row],[SAR_head (mW/kg)]]*10^3/Table1[[#This Row],[Input Power (mW)]]</f>
        <v>6.8401143491299994</v>
      </c>
      <c r="F58" s="7">
        <f>Table1[[#This Row],[SAR_trunk (mW/kg)]]*10^3/Table1[[#This Row],[Input Power (mW)]]</f>
        <v>1.4346493795406166</v>
      </c>
      <c r="G58" s="7">
        <f>Table1[[#This Row],[psSAR10g_eyes (mW/kg)]]*10^3/Table1[[#This Row],[Input Power (mW)]]</f>
        <v>43.683240083187783</v>
      </c>
      <c r="H58" s="7">
        <f>Table1[[#This Row],[psSAR10g_skin (mW/kg)]]*10^3/Table1[[#This Row],[Input Power (mW)]]</f>
        <v>128.49859493381612</v>
      </c>
      <c r="I58" s="7">
        <f>Table1[[#This Row],[psSAR10g_brain (mW/kg)]]*10^3/Table1[[#This Row],[Input Power (mW)]]</f>
        <v>48.153325033220561</v>
      </c>
      <c r="J58" s="7">
        <f>Table1[[#This Row],[SAR_brain (mW/kg)]]*10^3/Table1[[#This Row],[Input Power (mW)]]</f>
        <v>0.58790522219149177</v>
      </c>
    </row>
    <row r="59" spans="1:10" ht="15.75" customHeight="1" x14ac:dyDescent="0.35">
      <c r="A59" s="4">
        <v>5800</v>
      </c>
      <c r="B59" s="4" t="s">
        <v>10</v>
      </c>
      <c r="C59" s="4">
        <v>1</v>
      </c>
      <c r="D59" s="8">
        <f>Table1[[#This Row],[SAR_wholebody (mW/kg)]]*10^3/Table1[[#This Row],[Input Power (mW)]]</f>
        <v>2.6225633909713895</v>
      </c>
      <c r="E59" s="8">
        <f>Table1[[#This Row],[SAR_head (mW/kg)]]*10^3/Table1[[#This Row],[Input Power (mW)]]</f>
        <v>8.4225773784577402</v>
      </c>
      <c r="F59" s="8">
        <f>Table1[[#This Row],[SAR_trunk (mW/kg)]]*10^3/Table1[[#This Row],[Input Power (mW)]]</f>
        <v>2.1267319474879631</v>
      </c>
      <c r="G59" s="8">
        <f>Table1[[#This Row],[psSAR10g_eyes (mW/kg)]]*10^3/Table1[[#This Row],[Input Power (mW)]]</f>
        <v>55.63256952905963</v>
      </c>
      <c r="H59" s="8">
        <f>Table1[[#This Row],[psSAR10g_skin (mW/kg)]]*10^3/Table1[[#This Row],[Input Power (mW)]]</f>
        <v>145.02845042764372</v>
      </c>
      <c r="I59" s="8">
        <f>Table1[[#This Row],[psSAR10g_brain (mW/kg)]]*10^3/Table1[[#This Row],[Input Power (mW)]]</f>
        <v>67.630369204925927</v>
      </c>
      <c r="J59" s="8">
        <f>Table1[[#This Row],[SAR_brain (mW/kg)]]*10^3/Table1[[#This Row],[Input Power (mW)]]</f>
        <v>0.56449511871277047</v>
      </c>
    </row>
    <row r="60" spans="1:10" ht="15.75" customHeight="1" x14ac:dyDescent="0.35">
      <c r="A60" s="5">
        <v>5800</v>
      </c>
      <c r="B60" s="5" t="s">
        <v>11</v>
      </c>
      <c r="C60" s="5">
        <v>1</v>
      </c>
      <c r="D60" s="9">
        <f>Table1[[#This Row],[SAR_wholebody (mW/kg)]]*10^3/Table1[[#This Row],[Input Power (mW)]]</f>
        <v>2.1685812680961853</v>
      </c>
      <c r="E60" s="9">
        <f>Table1[[#This Row],[SAR_head (mW/kg)]]*10^3/Table1[[#This Row],[Input Power (mW)]]</f>
        <v>7.8000691601465739</v>
      </c>
      <c r="F60" s="9">
        <f>Table1[[#This Row],[SAR_trunk (mW/kg)]]*10^3/Table1[[#This Row],[Input Power (mW)]]</f>
        <v>1.8461368933633575</v>
      </c>
      <c r="G60" s="9">
        <f>Table1[[#This Row],[psSAR10g_eyes (mW/kg)]]*10^3/Table1[[#This Row],[Input Power (mW)]]</f>
        <v>49.008570801164261</v>
      </c>
      <c r="H60" s="9">
        <f>Table1[[#This Row],[psSAR10g_skin (mW/kg)]]*10^3/Table1[[#This Row],[Input Power (mW)]]</f>
        <v>83.267752351456309</v>
      </c>
      <c r="I60" s="9">
        <f>Table1[[#This Row],[psSAR10g_brain (mW/kg)]]*10^3/Table1[[#This Row],[Input Power (mW)]]</f>
        <v>83.267752351456309</v>
      </c>
      <c r="J60" s="9">
        <f>Table1[[#This Row],[SAR_brain (mW/kg)]]*10^3/Table1[[#This Row],[Input Power (mW)]]</f>
        <v>0.7109121300636625</v>
      </c>
    </row>
    <row r="61" spans="1:10" ht="15.75" customHeight="1" x14ac:dyDescent="0.35">
      <c r="A61" s="4">
        <v>5800</v>
      </c>
      <c r="B61" s="4" t="s">
        <v>12</v>
      </c>
      <c r="C61" s="4">
        <v>1</v>
      </c>
      <c r="D61" s="8">
        <f>Table1[[#This Row],[SAR_wholebody (mW/kg)]]*10^3/Table1[[#This Row],[Input Power (mW)]]</f>
        <v>2.7021428947236665</v>
      </c>
      <c r="E61" s="8">
        <f>Table1[[#This Row],[SAR_head (mW/kg)]]*10^3/Table1[[#This Row],[Input Power (mW)]]</f>
        <v>9.0201952349015198</v>
      </c>
      <c r="F61" s="8">
        <f>Table1[[#This Row],[SAR_trunk (mW/kg)]]*10^3/Table1[[#This Row],[Input Power (mW)]]</f>
        <v>2.1167613302093149</v>
      </c>
      <c r="G61" s="8">
        <f>Table1[[#This Row],[psSAR10g_eyes (mW/kg)]]*10^3/Table1[[#This Row],[Input Power (mW)]]</f>
        <v>50.687607172463885</v>
      </c>
      <c r="H61" s="8">
        <f>Table1[[#This Row],[psSAR10g_skin (mW/kg)]]*10^3/Table1[[#This Row],[Input Power (mW)]]</f>
        <v>110.80799993943464</v>
      </c>
      <c r="I61" s="8">
        <f>Table1[[#This Row],[psSAR10g_brain (mW/kg)]]*10^3/Table1[[#This Row],[Input Power (mW)]]</f>
        <v>50.687607172463885</v>
      </c>
      <c r="J61" s="8">
        <f>Table1[[#This Row],[SAR_brain (mW/kg)]]*10^3/Table1[[#This Row],[Input Power (mW)]]</f>
        <v>0.41077106479474534</v>
      </c>
    </row>
    <row r="62" spans="1:10" ht="15.75" customHeight="1" x14ac:dyDescent="0.35">
      <c r="A62" s="5">
        <v>5800</v>
      </c>
      <c r="B62" s="5" t="s">
        <v>13</v>
      </c>
      <c r="C62" s="5">
        <v>1</v>
      </c>
      <c r="D62" s="9">
        <f>Table1[[#This Row],[SAR_wholebody (mW/kg)]]*10^3/Table1[[#This Row],[Input Power (mW)]]</f>
        <v>1.8540143324081111</v>
      </c>
      <c r="E62" s="9">
        <f>Table1[[#This Row],[SAR_head (mW/kg)]]*10^3/Table1[[#This Row],[Input Power (mW)]]</f>
        <v>6.1877171873521108</v>
      </c>
      <c r="F62" s="9">
        <f>Table1[[#This Row],[SAR_trunk (mW/kg)]]*10^3/Table1[[#This Row],[Input Power (mW)]]</f>
        <v>1.449161006062087</v>
      </c>
      <c r="G62" s="9">
        <f>Table1[[#This Row],[psSAR10g_eyes (mW/kg)]]*10^3/Table1[[#This Row],[Input Power (mW)]]</f>
        <v>37.936912681404451</v>
      </c>
      <c r="H62" s="9">
        <f>Table1[[#This Row],[psSAR10g_skin (mW/kg)]]*10^3/Table1[[#This Row],[Input Power (mW)]]</f>
        <v>120.69471923204648</v>
      </c>
      <c r="I62" s="9">
        <f>Table1[[#This Row],[psSAR10g_brain (mW/kg)]]*10^3/Table1[[#This Row],[Input Power (mW)]]</f>
        <v>41.044849530003333</v>
      </c>
      <c r="J62" s="9">
        <f>Table1[[#This Row],[SAR_brain (mW/kg)]]*10^3/Table1[[#This Row],[Input Power (mW)]]</f>
        <v>0.54125051003173597</v>
      </c>
    </row>
    <row r="63" spans="1:10" ht="15.75" customHeight="1" x14ac:dyDescent="0.35">
      <c r="A63" s="4">
        <v>5800</v>
      </c>
      <c r="B63" s="4" t="s">
        <v>14</v>
      </c>
      <c r="C63" s="4">
        <v>1</v>
      </c>
      <c r="D63" s="8">
        <f>Table1[[#This Row],[SAR_wholebody (mW/kg)]]*10^3/Table1[[#This Row],[Input Power (mW)]]</f>
        <v>2.6089395523324264</v>
      </c>
      <c r="E63" s="8">
        <f>Table1[[#This Row],[SAR_head (mW/kg)]]*10^3/Table1[[#This Row],[Input Power (mW)]]</f>
        <v>8.7155172267500731</v>
      </c>
      <c r="F63" s="8">
        <f>Table1[[#This Row],[SAR_trunk (mW/kg)]]*10^3/Table1[[#This Row],[Input Power (mW)]]</f>
        <v>2.1551017862315183</v>
      </c>
      <c r="G63" s="8">
        <f>Table1[[#This Row],[psSAR10g_eyes (mW/kg)]]*10^3/Table1[[#This Row],[Input Power (mW)]]</f>
        <v>60.526434919704258</v>
      </c>
      <c r="H63" s="8">
        <f>Table1[[#This Row],[psSAR10g_skin (mW/kg)]]*10^3/Table1[[#This Row],[Input Power (mW)]]</f>
        <v>155.9175100485011</v>
      </c>
      <c r="I63" s="8">
        <f>Table1[[#This Row],[psSAR10g_brain (mW/kg)]]*10^3/Table1[[#This Row],[Input Power (mW)]]</f>
        <v>67.090989824327963</v>
      </c>
      <c r="J63" s="8">
        <f>Table1[[#This Row],[SAR_brain (mW/kg)]]*10^3/Table1[[#This Row],[Input Power (mW)]]</f>
        <v>0.54853049531694975</v>
      </c>
    </row>
    <row r="64" spans="1:10" ht="15.75" customHeight="1" x14ac:dyDescent="0.35">
      <c r="A64" s="5">
        <v>5800</v>
      </c>
      <c r="B64" s="5" t="s">
        <v>15</v>
      </c>
      <c r="C64" s="5">
        <v>1</v>
      </c>
      <c r="D64" s="9">
        <f>Table1[[#This Row],[SAR_wholebody (mW/kg)]]*10^3/Table1[[#This Row],[Input Power (mW)]]</f>
        <v>1.8915970380240925</v>
      </c>
      <c r="E64" s="9">
        <f>Table1[[#This Row],[SAR_head (mW/kg)]]*10^3/Table1[[#This Row],[Input Power (mW)]]</f>
        <v>6.923114179076741</v>
      </c>
      <c r="F64" s="9">
        <f>Table1[[#This Row],[SAR_trunk (mW/kg)]]*10^3/Table1[[#This Row],[Input Power (mW)]]</f>
        <v>1.4889363273500353</v>
      </c>
      <c r="G64" s="9">
        <f>Table1[[#This Row],[psSAR10g_eyes (mW/kg)]]*10^3/Table1[[#This Row],[Input Power (mW)]]</f>
        <v>42.16704422296074</v>
      </c>
      <c r="H64" s="9">
        <f>Table1[[#This Row],[psSAR10g_skin (mW/kg)]]*10^3/Table1[[#This Row],[Input Power (mW)]]</f>
        <v>105.20478884165443</v>
      </c>
      <c r="I64" s="9">
        <f>Table1[[#This Row],[psSAR10g_brain (mW/kg)]]*10^3/Table1[[#This Row],[Input Power (mW)]]</f>
        <v>52.626618775665001</v>
      </c>
      <c r="J64" s="9">
        <f>Table1[[#This Row],[SAR_brain (mW/kg)]]*10^3/Table1[[#This Row],[Input Power (mW)]]</f>
        <v>0.61113046907585167</v>
      </c>
    </row>
    <row r="65" spans="1:10" ht="15.75" customHeight="1" thickBot="1" x14ac:dyDescent="0.4">
      <c r="A65" s="6">
        <v>5800</v>
      </c>
      <c r="B65" s="6" t="s">
        <v>16</v>
      </c>
      <c r="C65" s="6">
        <v>1</v>
      </c>
      <c r="D65" s="10">
        <f>Table1[[#This Row],[SAR_wholebody (mW/kg)]]*10^3/Table1[[#This Row],[Input Power (mW)]]</f>
        <v>2.6226193324393514</v>
      </c>
      <c r="E65" s="10">
        <f>Table1[[#This Row],[SAR_head (mW/kg)]]*10^3/Table1[[#This Row],[Input Power (mW)]]</f>
        <v>8.7479972983987775</v>
      </c>
      <c r="F65" s="10">
        <f>Table1[[#This Row],[SAR_trunk (mW/kg)]]*10^3/Table1[[#This Row],[Input Power (mW)]]</f>
        <v>1.9726111938534445</v>
      </c>
      <c r="G65" s="10">
        <f>Table1[[#This Row],[psSAR10g_eyes (mW/kg)]]*10^3/Table1[[#This Row],[Input Power (mW)]]</f>
        <v>55.095620429397599</v>
      </c>
      <c r="H65" s="10">
        <f>Table1[[#This Row],[psSAR10g_skin (mW/kg)]]*10^3/Table1[[#This Row],[Input Power (mW)]]</f>
        <v>101.7824480921587</v>
      </c>
      <c r="I65" s="10">
        <f>Table1[[#This Row],[psSAR10g_brain (mW/kg)]]*10^3/Table1[[#This Row],[Input Power (mW)]]</f>
        <v>55.266342068412229</v>
      </c>
      <c r="J65" s="10">
        <f>Table1[[#This Row],[SAR_brain (mW/kg)]]*10^3/Table1[[#This Row],[Input Power (mW)]]</f>
        <v>0.62395225072417726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5"/>
  <sheetViews>
    <sheetView zoomScale="75" zoomScaleNormal="248" workbookViewId="0">
      <selection activeCell="J1" sqref="J1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28.3632812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18</v>
      </c>
      <c r="C2" s="3">
        <v>267</v>
      </c>
      <c r="D2" s="7">
        <v>0.68238791271025401</v>
      </c>
      <c r="E2" s="7">
        <v>0.32193064861773102</v>
      </c>
      <c r="F2" s="7">
        <v>0.54893185755055396</v>
      </c>
      <c r="G2" s="7">
        <v>0.497876621676687</v>
      </c>
      <c r="H2" s="7">
        <v>7.66678983339773</v>
      </c>
      <c r="I2" s="7">
        <v>0.87177389425606</v>
      </c>
      <c r="J2" s="7">
        <v>0.31510845097689999</v>
      </c>
    </row>
    <row r="3" spans="1:10" ht="15.75" customHeight="1" x14ac:dyDescent="0.35">
      <c r="A3" s="4">
        <v>700</v>
      </c>
      <c r="B3" s="4" t="s">
        <v>19</v>
      </c>
      <c r="C3" s="4">
        <v>267</v>
      </c>
      <c r="D3" s="8">
        <v>0.49259361496721099</v>
      </c>
      <c r="E3" s="8">
        <v>7.0059188300809996E-2</v>
      </c>
      <c r="F3" s="8">
        <v>0.25424364511849401</v>
      </c>
      <c r="G3" s="8">
        <v>0.12972774640726301</v>
      </c>
      <c r="H3" s="8">
        <v>4.4617860011469102</v>
      </c>
      <c r="I3" s="8">
        <v>1.1369509853219899</v>
      </c>
      <c r="J3" s="8">
        <v>3.8727041174412495E-2</v>
      </c>
    </row>
    <row r="4" spans="1:10" ht="15.75" customHeight="1" x14ac:dyDescent="0.35">
      <c r="A4" s="5">
        <v>700</v>
      </c>
      <c r="B4" s="5" t="s">
        <v>20</v>
      </c>
      <c r="C4" s="5">
        <v>267</v>
      </c>
      <c r="D4" s="9">
        <v>0.13294233605868699</v>
      </c>
      <c r="E4" s="9">
        <v>1.9119134337405499E-2</v>
      </c>
      <c r="F4" s="9">
        <v>7.4849227243509495E-2</v>
      </c>
      <c r="G4" s="9">
        <v>5.8995899491557702E-2</v>
      </c>
      <c r="H4" s="9">
        <v>2.4867930048445199</v>
      </c>
      <c r="I4" s="9">
        <v>0.14418547634238901</v>
      </c>
      <c r="J4" s="9">
        <v>1.7713006271770557E-2</v>
      </c>
    </row>
    <row r="5" spans="1:10" ht="15.75" customHeight="1" x14ac:dyDescent="0.35">
      <c r="A5" s="4">
        <v>700</v>
      </c>
      <c r="B5" s="4" t="s">
        <v>21</v>
      </c>
      <c r="C5" s="4">
        <v>267</v>
      </c>
      <c r="D5" s="8">
        <v>1.8446301367691001E-2</v>
      </c>
      <c r="E5" s="8">
        <v>2.4840309636418E-3</v>
      </c>
      <c r="F5" s="8">
        <v>1.6951957267306299E-2</v>
      </c>
      <c r="G5" s="8">
        <v>9.4697791560904993E-3</v>
      </c>
      <c r="H5" s="8">
        <v>0.35883572277154002</v>
      </c>
      <c r="I5" s="8">
        <v>8.1394623739906007E-3</v>
      </c>
      <c r="J5" s="8">
        <v>1.9411522282575464E-3</v>
      </c>
    </row>
    <row r="6" spans="1:10" ht="15.75" customHeight="1" x14ac:dyDescent="0.35">
      <c r="A6" s="5">
        <v>700</v>
      </c>
      <c r="B6" s="5" t="s">
        <v>22</v>
      </c>
      <c r="C6" s="5">
        <v>267</v>
      </c>
      <c r="D6" s="9">
        <v>0.60722316956968703</v>
      </c>
      <c r="E6" s="9">
        <v>0.17261005957498199</v>
      </c>
      <c r="F6" s="9">
        <v>0.56068814811108802</v>
      </c>
      <c r="G6" s="9">
        <v>0.438346076709975</v>
      </c>
      <c r="H6" s="9">
        <v>5.3929477745683503</v>
      </c>
      <c r="I6" s="9">
        <v>0.734096065762464</v>
      </c>
      <c r="J6" s="9">
        <v>0.1726467940667</v>
      </c>
    </row>
    <row r="7" spans="1:10" ht="15.75" customHeight="1" x14ac:dyDescent="0.35">
      <c r="A7" s="4">
        <v>700</v>
      </c>
      <c r="B7" s="4" t="s">
        <v>23</v>
      </c>
      <c r="C7" s="4">
        <v>267</v>
      </c>
      <c r="D7" s="8">
        <v>0.46836851288099601</v>
      </c>
      <c r="E7" s="8">
        <v>4.95904336156048E-2</v>
      </c>
      <c r="F7" s="8">
        <v>0.27355233010100399</v>
      </c>
      <c r="G7" s="8">
        <v>7.2879564890628801E-2</v>
      </c>
      <c r="H7" s="8">
        <v>13.7154774082248</v>
      </c>
      <c r="I7" s="8">
        <v>0.41519553260520098</v>
      </c>
      <c r="J7" s="8">
        <v>4.0604568739704326E-2</v>
      </c>
    </row>
    <row r="8" spans="1:10" ht="15.75" customHeight="1" x14ac:dyDescent="0.35">
      <c r="A8" s="5">
        <v>700</v>
      </c>
      <c r="B8" s="5" t="s">
        <v>24</v>
      </c>
      <c r="C8" s="5">
        <v>267</v>
      </c>
      <c r="D8" s="9">
        <v>0.683507403372694</v>
      </c>
      <c r="E8" s="9">
        <v>0.32591779555109401</v>
      </c>
      <c r="F8" s="9">
        <v>0.71801047818915797</v>
      </c>
      <c r="G8" s="9">
        <v>0.84927656822625797</v>
      </c>
      <c r="H8" s="9">
        <v>8.5853282829388604</v>
      </c>
      <c r="I8" s="9">
        <v>1.42609359755809</v>
      </c>
      <c r="J8" s="9">
        <v>0.3279197658436</v>
      </c>
    </row>
    <row r="9" spans="1:10" ht="15.75" customHeight="1" thickBot="1" x14ac:dyDescent="0.4">
      <c r="A9" s="6">
        <v>700</v>
      </c>
      <c r="B9" s="6" t="s">
        <v>25</v>
      </c>
      <c r="C9" s="6">
        <v>267</v>
      </c>
      <c r="D9" s="10">
        <v>0.489058502786482</v>
      </c>
      <c r="E9" s="10">
        <v>0.123262607806132</v>
      </c>
      <c r="F9" s="10">
        <v>0.47252510187985097</v>
      </c>
      <c r="G9" s="10">
        <v>0.293555115269026</v>
      </c>
      <c r="H9" s="10">
        <v>3.93440856314793</v>
      </c>
      <c r="I9" s="10">
        <v>1.5766979865241399</v>
      </c>
      <c r="J9" s="10">
        <v>6.8832066473229703E-2</v>
      </c>
    </row>
    <row r="10" spans="1:10" ht="15.75" customHeight="1" x14ac:dyDescent="0.35">
      <c r="A10" s="3">
        <v>835</v>
      </c>
      <c r="B10" s="3" t="s">
        <v>18</v>
      </c>
      <c r="C10" s="3">
        <v>228</v>
      </c>
      <c r="D10" s="7">
        <v>1.25559358710151</v>
      </c>
      <c r="E10" s="7">
        <v>0.239206524506895</v>
      </c>
      <c r="F10" s="7">
        <v>0.94379900883565104</v>
      </c>
      <c r="G10" s="7">
        <v>0.88588265919419695</v>
      </c>
      <c r="H10" s="7">
        <v>16.968657805375202</v>
      </c>
      <c r="I10" s="7">
        <v>0.80846354818857902</v>
      </c>
      <c r="J10" s="7">
        <v>0.208125825298</v>
      </c>
    </row>
    <row r="11" spans="1:10" ht="15.75" customHeight="1" x14ac:dyDescent="0.35">
      <c r="A11" s="4">
        <v>835</v>
      </c>
      <c r="B11" s="4" t="s">
        <v>19</v>
      </c>
      <c r="C11" s="4">
        <v>228</v>
      </c>
      <c r="D11" s="8">
        <v>1.21900453368469</v>
      </c>
      <c r="E11" s="8">
        <v>9.90491528661855E-2</v>
      </c>
      <c r="F11" s="8">
        <v>0.59336470625086302</v>
      </c>
      <c r="G11" s="8">
        <v>0.95378328205031304</v>
      </c>
      <c r="H11" s="8">
        <v>21.665848396973999</v>
      </c>
      <c r="I11" s="8">
        <v>0.83297338848350899</v>
      </c>
      <c r="J11" s="8">
        <v>4.8587355574662809E-2</v>
      </c>
    </row>
    <row r="12" spans="1:10" ht="15.75" customHeight="1" x14ac:dyDescent="0.35">
      <c r="A12" s="5">
        <v>835</v>
      </c>
      <c r="B12" s="5" t="s">
        <v>20</v>
      </c>
      <c r="C12" s="5">
        <v>228</v>
      </c>
      <c r="D12" s="9">
        <v>0.50684018754595705</v>
      </c>
      <c r="E12" s="9">
        <v>5.9744807354051299E-2</v>
      </c>
      <c r="F12" s="9">
        <v>0.335810801720339</v>
      </c>
      <c r="G12" s="9">
        <v>0.335565148507036</v>
      </c>
      <c r="H12" s="9">
        <v>13.4180120812804</v>
      </c>
      <c r="I12" s="9">
        <v>0.25411091045735801</v>
      </c>
      <c r="J12" s="9">
        <v>4.0816956434099265E-2</v>
      </c>
    </row>
    <row r="13" spans="1:10" ht="15.75" customHeight="1" x14ac:dyDescent="0.35">
      <c r="A13" s="4">
        <v>835</v>
      </c>
      <c r="B13" s="4" t="s">
        <v>21</v>
      </c>
      <c r="C13" s="4">
        <v>228</v>
      </c>
      <c r="D13" s="8">
        <v>1.9055538673303601E-2</v>
      </c>
      <c r="E13" s="8">
        <v>3.07975620570663E-3</v>
      </c>
      <c r="F13" s="8">
        <v>1.44799704567683E-2</v>
      </c>
      <c r="G13" s="8">
        <v>1.40148196790952E-2</v>
      </c>
      <c r="H13" s="8">
        <v>0.50892380724774999</v>
      </c>
      <c r="I13" s="8">
        <v>1.0542782925894899E-2</v>
      </c>
      <c r="J13" s="8">
        <v>2.31089597108058E-3</v>
      </c>
    </row>
    <row r="14" spans="1:10" ht="15.75" customHeight="1" x14ac:dyDescent="0.35">
      <c r="A14" s="5">
        <v>835</v>
      </c>
      <c r="B14" s="5" t="s">
        <v>22</v>
      </c>
      <c r="C14" s="5">
        <v>228</v>
      </c>
      <c r="D14" s="9">
        <v>1.32380544687617</v>
      </c>
      <c r="E14" s="9">
        <v>0.21135734721578001</v>
      </c>
      <c r="F14" s="9">
        <v>1.23180415427328</v>
      </c>
      <c r="G14" s="9">
        <v>1.6473962296693101</v>
      </c>
      <c r="H14" s="9">
        <v>16.650963961286401</v>
      </c>
      <c r="I14" s="9">
        <v>1.31761930310814</v>
      </c>
      <c r="J14" s="9">
        <v>0.16426563243059999</v>
      </c>
    </row>
    <row r="15" spans="1:10" ht="15.75" customHeight="1" x14ac:dyDescent="0.35">
      <c r="A15" s="4">
        <v>835</v>
      </c>
      <c r="B15" s="4" t="s">
        <v>23</v>
      </c>
      <c r="C15" s="4">
        <v>228</v>
      </c>
      <c r="D15" s="8">
        <v>0.91753871572673795</v>
      </c>
      <c r="E15" s="8">
        <v>0.11888428903799</v>
      </c>
      <c r="F15" s="8">
        <v>0.43592422432566702</v>
      </c>
      <c r="G15" s="8">
        <v>0.70190638395245497</v>
      </c>
      <c r="H15" s="8">
        <v>23.936316141470499</v>
      </c>
      <c r="I15" s="8">
        <v>0.46367700864202199</v>
      </c>
      <c r="J15" s="8">
        <v>8.2130696978083104E-2</v>
      </c>
    </row>
    <row r="16" spans="1:10" ht="15.75" customHeight="1" x14ac:dyDescent="0.35">
      <c r="A16" s="5">
        <v>835</v>
      </c>
      <c r="B16" s="5" t="s">
        <v>24</v>
      </c>
      <c r="C16" s="5">
        <v>228</v>
      </c>
      <c r="D16" s="9">
        <v>1.29001856750665</v>
      </c>
      <c r="E16" s="9">
        <v>0.35597971371008003</v>
      </c>
      <c r="F16" s="9">
        <v>1.6492081356388499</v>
      </c>
      <c r="G16" s="9">
        <v>2.0439084787658199</v>
      </c>
      <c r="H16" s="9">
        <v>12.7732678133963</v>
      </c>
      <c r="I16" s="9">
        <v>1.8374998003176599</v>
      </c>
      <c r="J16" s="9">
        <v>0.29619846565959995</v>
      </c>
    </row>
    <row r="17" spans="1:10" ht="15.75" customHeight="1" thickBot="1" x14ac:dyDescent="0.4">
      <c r="A17" s="6">
        <v>835</v>
      </c>
      <c r="B17" s="6" t="s">
        <v>25</v>
      </c>
      <c r="C17" s="6">
        <v>228</v>
      </c>
      <c r="D17" s="10">
        <v>1.23029645816358</v>
      </c>
      <c r="E17" s="10">
        <v>0.24941702292922699</v>
      </c>
      <c r="F17" s="10">
        <v>1.1332895321304699</v>
      </c>
      <c r="G17" s="10">
        <v>1.99870670130439</v>
      </c>
      <c r="H17" s="10">
        <v>13.391554757825499</v>
      </c>
      <c r="I17" s="10">
        <v>1.59041252202398</v>
      </c>
      <c r="J17" s="10">
        <v>0.14502130578279998</v>
      </c>
    </row>
    <row r="18" spans="1:10" ht="15.75" customHeight="1" x14ac:dyDescent="0.35">
      <c r="A18" s="3">
        <v>1450</v>
      </c>
      <c r="B18" s="3" t="s">
        <v>18</v>
      </c>
      <c r="C18" s="3">
        <v>106</v>
      </c>
      <c r="D18" s="7">
        <v>0.38062940528294698</v>
      </c>
      <c r="E18" s="7">
        <v>8.9378180943672503E-2</v>
      </c>
      <c r="F18" s="7">
        <v>0.484935738829813</v>
      </c>
      <c r="G18" s="7">
        <v>0.54584325232092801</v>
      </c>
      <c r="H18" s="7">
        <v>4.6457675463648203</v>
      </c>
      <c r="I18" s="7">
        <v>0.504292686228767</v>
      </c>
      <c r="J18" s="7">
        <v>7.1593394171380068E-2</v>
      </c>
    </row>
    <row r="19" spans="1:10" ht="15.75" customHeight="1" x14ac:dyDescent="0.35">
      <c r="A19" s="4">
        <v>1450</v>
      </c>
      <c r="B19" s="4" t="s">
        <v>19</v>
      </c>
      <c r="C19" s="4">
        <v>106</v>
      </c>
      <c r="D19" s="8">
        <v>0.47682322916509901</v>
      </c>
      <c r="E19" s="8">
        <v>0.109441077289443</v>
      </c>
      <c r="F19" s="8">
        <v>0.57292988911808296</v>
      </c>
      <c r="G19" s="8">
        <v>0.78917721328090995</v>
      </c>
      <c r="H19" s="8">
        <v>5.2067221014766796</v>
      </c>
      <c r="I19" s="8">
        <v>0.70619853021295498</v>
      </c>
      <c r="J19" s="8">
        <v>7.7619225850749679E-2</v>
      </c>
    </row>
    <row r="20" spans="1:10" ht="15.75" customHeight="1" x14ac:dyDescent="0.35">
      <c r="A20" s="5">
        <v>1450</v>
      </c>
      <c r="B20" s="5" t="s">
        <v>20</v>
      </c>
      <c r="C20" s="5">
        <v>106</v>
      </c>
      <c r="D20" s="9">
        <v>0.29727373618335001</v>
      </c>
      <c r="E20" s="9">
        <v>9.4927327453241797E-2</v>
      </c>
      <c r="F20" s="9">
        <v>0.35767752116441498</v>
      </c>
      <c r="G20" s="9">
        <v>0.66042571171678699</v>
      </c>
      <c r="H20" s="9">
        <v>5.9670027841321396</v>
      </c>
      <c r="I20" s="9">
        <v>0.54644832221472295</v>
      </c>
      <c r="J20" s="9">
        <v>7.8519060366256194E-2</v>
      </c>
    </row>
    <row r="21" spans="1:10" ht="15.75" customHeight="1" x14ac:dyDescent="0.35">
      <c r="A21" s="4">
        <v>1450</v>
      </c>
      <c r="B21" s="4" t="s">
        <v>21</v>
      </c>
      <c r="C21" s="4">
        <v>106</v>
      </c>
      <c r="D21" s="8">
        <v>0.26927218293108302</v>
      </c>
      <c r="E21" s="8">
        <v>9.3028926035834195E-2</v>
      </c>
      <c r="F21" s="8">
        <v>0.35684437038971401</v>
      </c>
      <c r="G21" s="8">
        <v>0.56511841231417803</v>
      </c>
      <c r="H21" s="8">
        <v>4.6072877838719997</v>
      </c>
      <c r="I21" s="8">
        <v>0.45725897584833403</v>
      </c>
      <c r="J21" s="8">
        <v>7.7009750229947313E-2</v>
      </c>
    </row>
    <row r="22" spans="1:10" ht="15.75" customHeight="1" x14ac:dyDescent="0.35">
      <c r="A22" s="5">
        <v>1450</v>
      </c>
      <c r="B22" s="5" t="s">
        <v>22</v>
      </c>
      <c r="C22" s="5">
        <v>106</v>
      </c>
      <c r="D22" s="9">
        <v>0.37185464148925801</v>
      </c>
      <c r="E22" s="9">
        <v>0.14940390828271599</v>
      </c>
      <c r="F22" s="9">
        <v>0.52210533691880801</v>
      </c>
      <c r="G22" s="9">
        <v>0.930368988675774</v>
      </c>
      <c r="H22" s="9">
        <v>4.2829382998546803</v>
      </c>
      <c r="I22" s="9">
        <v>0.77345865554693605</v>
      </c>
      <c r="J22" s="9">
        <v>0.1177260445203</v>
      </c>
    </row>
    <row r="23" spans="1:10" ht="15.75" customHeight="1" x14ac:dyDescent="0.35">
      <c r="A23" s="4">
        <v>1450</v>
      </c>
      <c r="B23" s="4" t="s">
        <v>23</v>
      </c>
      <c r="C23" s="4">
        <v>106</v>
      </c>
      <c r="D23" s="8">
        <v>0.46293151560381701</v>
      </c>
      <c r="E23" s="8">
        <v>0.14968506876900101</v>
      </c>
      <c r="F23" s="8">
        <v>0.56772944188997199</v>
      </c>
      <c r="G23" s="8">
        <v>1.11403761824861</v>
      </c>
      <c r="H23" s="8">
        <v>12.049490264766</v>
      </c>
      <c r="I23" s="8">
        <v>0.78531287309749498</v>
      </c>
      <c r="J23" s="8">
        <v>0.10749735391280001</v>
      </c>
    </row>
    <row r="24" spans="1:10" ht="15.75" customHeight="1" x14ac:dyDescent="0.35">
      <c r="A24" s="5">
        <v>1450</v>
      </c>
      <c r="B24" s="5" t="s">
        <v>24</v>
      </c>
      <c r="C24" s="5">
        <v>106</v>
      </c>
      <c r="D24" s="9">
        <v>0.34103024647785202</v>
      </c>
      <c r="E24" s="9">
        <v>0.155496775337331</v>
      </c>
      <c r="F24" s="9">
        <v>0.47295897998425201</v>
      </c>
      <c r="G24" s="9">
        <v>0.90454372622613799</v>
      </c>
      <c r="H24" s="9">
        <v>3.4795343715786902</v>
      </c>
      <c r="I24" s="9">
        <v>0.83934622283589699</v>
      </c>
      <c r="J24" s="9">
        <v>0.1318130529349</v>
      </c>
    </row>
    <row r="25" spans="1:10" ht="15.75" customHeight="1" thickBot="1" x14ac:dyDescent="0.4">
      <c r="A25" s="6">
        <v>1450</v>
      </c>
      <c r="B25" s="6" t="s">
        <v>25</v>
      </c>
      <c r="C25" s="6">
        <v>106</v>
      </c>
      <c r="D25" s="10">
        <v>0.46041459869277801</v>
      </c>
      <c r="E25" s="10">
        <v>0.23987122068177399</v>
      </c>
      <c r="F25" s="10">
        <v>0.64565346336845397</v>
      </c>
      <c r="G25" s="10">
        <v>1.56605011251765</v>
      </c>
      <c r="H25" s="10">
        <v>4.8653704121375299</v>
      </c>
      <c r="I25" s="10">
        <v>1.4036623665030299</v>
      </c>
      <c r="J25" s="10">
        <v>0.17114933962970003</v>
      </c>
    </row>
    <row r="26" spans="1:10" ht="15.75" customHeight="1" x14ac:dyDescent="0.35">
      <c r="A26" s="3">
        <v>2140</v>
      </c>
      <c r="B26" s="3" t="s">
        <v>18</v>
      </c>
      <c r="C26" s="3">
        <v>78</v>
      </c>
      <c r="D26" s="7">
        <v>0.43847776762756202</v>
      </c>
      <c r="E26" s="7">
        <v>0.111428741708714</v>
      </c>
      <c r="F26" s="7">
        <v>0.48925933134816202</v>
      </c>
      <c r="G26" s="7">
        <v>0.41763371215982997</v>
      </c>
      <c r="H26" s="7">
        <v>8.4608004348031205</v>
      </c>
      <c r="I26" s="7">
        <v>0.47480100824278898</v>
      </c>
      <c r="J26" s="7">
        <v>4.6986957302312324E-2</v>
      </c>
    </row>
    <row r="27" spans="1:10" ht="15.75" customHeight="1" x14ac:dyDescent="0.35">
      <c r="A27" s="4">
        <v>2140</v>
      </c>
      <c r="B27" s="4" t="s">
        <v>19</v>
      </c>
      <c r="C27" s="4">
        <v>78</v>
      </c>
      <c r="D27" s="8">
        <v>0.52794728961858495</v>
      </c>
      <c r="E27" s="8">
        <v>0.14651010142936399</v>
      </c>
      <c r="F27" s="8">
        <v>0.54261459702372705</v>
      </c>
      <c r="G27" s="8">
        <v>0.76137774134428604</v>
      </c>
      <c r="H27" s="8">
        <v>7.4421958359313001</v>
      </c>
      <c r="I27" s="8">
        <v>0.76015744320999601</v>
      </c>
      <c r="J27" s="8">
        <v>9.4073413996129521E-2</v>
      </c>
    </row>
    <row r="28" spans="1:10" ht="15.75" customHeight="1" x14ac:dyDescent="0.35">
      <c r="A28" s="5">
        <v>2140</v>
      </c>
      <c r="B28" s="5" t="s">
        <v>20</v>
      </c>
      <c r="C28" s="5">
        <v>78</v>
      </c>
      <c r="D28" s="9">
        <v>0.30597662934499398</v>
      </c>
      <c r="E28" s="9">
        <v>7.1244574664825297E-2</v>
      </c>
      <c r="F28" s="9">
        <v>0.31111522772093098</v>
      </c>
      <c r="G28" s="9">
        <v>0.35709550912034899</v>
      </c>
      <c r="H28" s="9">
        <v>5.8198516546676</v>
      </c>
      <c r="I28" s="9">
        <v>0.307090313300388</v>
      </c>
      <c r="J28" s="9">
        <v>3.8277543789348445E-2</v>
      </c>
    </row>
    <row r="29" spans="1:10" ht="15.75" customHeight="1" x14ac:dyDescent="0.35">
      <c r="A29" s="4">
        <v>2140</v>
      </c>
      <c r="B29" s="4" t="s">
        <v>21</v>
      </c>
      <c r="C29" s="4">
        <v>78</v>
      </c>
      <c r="D29" s="8">
        <v>0.22257950295812401</v>
      </c>
      <c r="E29" s="8">
        <v>6.71756931586414E-2</v>
      </c>
      <c r="F29" s="8">
        <v>0.221959194611484</v>
      </c>
      <c r="G29" s="8">
        <v>0.46382539421623598</v>
      </c>
      <c r="H29" s="8">
        <v>3.1355923457389401</v>
      </c>
      <c r="I29" s="8">
        <v>0.43753294384644598</v>
      </c>
      <c r="J29" s="8">
        <v>5.2085036698147388E-2</v>
      </c>
    </row>
    <row r="30" spans="1:10" ht="15.75" customHeight="1" x14ac:dyDescent="0.35">
      <c r="A30" s="5">
        <v>2140</v>
      </c>
      <c r="B30" s="5" t="s">
        <v>22</v>
      </c>
      <c r="C30" s="5">
        <v>78</v>
      </c>
      <c r="D30" s="9">
        <v>0.36796006156683397</v>
      </c>
      <c r="E30" s="9">
        <v>8.7156963361380402E-2</v>
      </c>
      <c r="F30" s="9">
        <v>0.418717433277916</v>
      </c>
      <c r="G30" s="9">
        <v>0.29767882795209</v>
      </c>
      <c r="H30" s="9">
        <v>5.4119778188591798</v>
      </c>
      <c r="I30" s="9">
        <v>0.335861378030539</v>
      </c>
      <c r="J30" s="9">
        <v>5.1421241303489497E-2</v>
      </c>
    </row>
    <row r="31" spans="1:10" ht="15.75" customHeight="1" x14ac:dyDescent="0.35">
      <c r="A31" s="4">
        <v>2140</v>
      </c>
      <c r="B31" s="4" t="s">
        <v>23</v>
      </c>
      <c r="C31" s="4">
        <v>78</v>
      </c>
      <c r="D31" s="8">
        <v>0.42706723777512201</v>
      </c>
      <c r="E31" s="8">
        <v>0.16808877143578599</v>
      </c>
      <c r="F31" s="8">
        <v>0.43625233898944099</v>
      </c>
      <c r="G31" s="8">
        <v>0.91236613987183701</v>
      </c>
      <c r="H31" s="8">
        <v>12.739110248899699</v>
      </c>
      <c r="I31" s="8">
        <v>0.95200328844821303</v>
      </c>
      <c r="J31" s="8">
        <v>0.11595556398280001</v>
      </c>
    </row>
    <row r="32" spans="1:10" ht="15.75" customHeight="1" x14ac:dyDescent="0.35">
      <c r="A32" s="5">
        <v>2140</v>
      </c>
      <c r="B32" s="5" t="s">
        <v>24</v>
      </c>
      <c r="C32" s="5">
        <v>78</v>
      </c>
      <c r="D32" s="9">
        <v>0.40908740448498199</v>
      </c>
      <c r="E32" s="9">
        <v>0.109508483015827</v>
      </c>
      <c r="F32" s="9">
        <v>0.47668128812821198</v>
      </c>
      <c r="G32" s="9">
        <v>0.73584226017066201</v>
      </c>
      <c r="H32" s="9">
        <v>5.7405650485391302</v>
      </c>
      <c r="I32" s="9">
        <v>0.73870109818013496</v>
      </c>
      <c r="J32" s="9">
        <v>7.8630654318536719E-2</v>
      </c>
    </row>
    <row r="33" spans="1:10" ht="15.75" customHeight="1" thickBot="1" x14ac:dyDescent="0.4">
      <c r="A33" s="6">
        <v>2140</v>
      </c>
      <c r="B33" s="6" t="s">
        <v>25</v>
      </c>
      <c r="C33" s="6">
        <v>78</v>
      </c>
      <c r="D33" s="10">
        <v>0.498735624462537</v>
      </c>
      <c r="E33" s="10">
        <v>0.24524194141296499</v>
      </c>
      <c r="F33" s="10">
        <v>0.61613518567290504</v>
      </c>
      <c r="G33" s="10">
        <v>1.2920484398577401</v>
      </c>
      <c r="H33" s="10">
        <v>5.4301068716510201</v>
      </c>
      <c r="I33" s="10">
        <v>1.3245567125214299</v>
      </c>
      <c r="J33" s="10">
        <v>0.16994557387539999</v>
      </c>
    </row>
    <row r="34" spans="1:10" ht="15.75" customHeight="1" x14ac:dyDescent="0.35">
      <c r="A34" s="3">
        <v>2450</v>
      </c>
      <c r="B34" s="3" t="s">
        <v>18</v>
      </c>
      <c r="C34" s="3">
        <v>74</v>
      </c>
      <c r="D34" s="7">
        <v>0.39292384383944601</v>
      </c>
      <c r="E34" s="7">
        <v>8.5913805471624499E-2</v>
      </c>
      <c r="F34" s="7">
        <v>0.40823046961051701</v>
      </c>
      <c r="G34" s="7">
        <v>0.43582509199369601</v>
      </c>
      <c r="H34" s="7">
        <v>6.6491578626634196</v>
      </c>
      <c r="I34" s="7">
        <v>0.410787502065312</v>
      </c>
      <c r="J34" s="7">
        <v>4.4801563149882026E-2</v>
      </c>
    </row>
    <row r="35" spans="1:10" ht="15.75" customHeight="1" x14ac:dyDescent="0.35">
      <c r="A35" s="4">
        <v>2450</v>
      </c>
      <c r="B35" s="4" t="s">
        <v>19</v>
      </c>
      <c r="C35" s="4">
        <v>74</v>
      </c>
      <c r="D35" s="8">
        <v>0.48178680662622397</v>
      </c>
      <c r="E35" s="8">
        <v>0.11136384938857501</v>
      </c>
      <c r="F35" s="8">
        <v>0.52689943858866095</v>
      </c>
      <c r="G35" s="8">
        <v>0.69155651843955501</v>
      </c>
      <c r="H35" s="8">
        <v>5.5968407362913499</v>
      </c>
      <c r="I35" s="8">
        <v>0.57693479837466299</v>
      </c>
      <c r="J35" s="8">
        <v>6.8928573618478345E-2</v>
      </c>
    </row>
    <row r="36" spans="1:10" ht="15.75" customHeight="1" x14ac:dyDescent="0.35">
      <c r="A36" s="5">
        <v>2450</v>
      </c>
      <c r="B36" s="5" t="s">
        <v>20</v>
      </c>
      <c r="C36" s="5">
        <v>74</v>
      </c>
      <c r="D36" s="9">
        <v>0.31557285418927999</v>
      </c>
      <c r="E36" s="9">
        <v>6.8571506966802406E-2</v>
      </c>
      <c r="F36" s="9">
        <v>0.33170728698577001</v>
      </c>
      <c r="G36" s="9">
        <v>0.45702109262148299</v>
      </c>
      <c r="H36" s="9">
        <v>6.1485362595944704</v>
      </c>
      <c r="I36" s="9">
        <v>0.44619887757489701</v>
      </c>
      <c r="J36" s="9">
        <v>4.352081510681071E-2</v>
      </c>
    </row>
    <row r="37" spans="1:10" ht="15.75" customHeight="1" x14ac:dyDescent="0.35">
      <c r="A37" s="4">
        <v>2450</v>
      </c>
      <c r="B37" s="4" t="s">
        <v>21</v>
      </c>
      <c r="C37" s="4">
        <v>74</v>
      </c>
      <c r="D37" s="8">
        <v>0.26572094547985498</v>
      </c>
      <c r="E37" s="8">
        <v>6.4310363739847096E-2</v>
      </c>
      <c r="F37" s="8">
        <v>0.27530366522720801</v>
      </c>
      <c r="G37" s="8">
        <v>0.42832688063898799</v>
      </c>
      <c r="H37" s="8">
        <v>5.3471798179712602</v>
      </c>
      <c r="I37" s="8">
        <v>0.50226619333248301</v>
      </c>
      <c r="J37" s="8">
        <v>4.5815359594252036E-2</v>
      </c>
    </row>
    <row r="38" spans="1:10" ht="15.75" customHeight="1" x14ac:dyDescent="0.35">
      <c r="A38" s="5">
        <v>2450</v>
      </c>
      <c r="B38" s="5" t="s">
        <v>22</v>
      </c>
      <c r="C38" s="5">
        <v>74</v>
      </c>
      <c r="D38" s="9">
        <v>0.38986177831512098</v>
      </c>
      <c r="E38" s="9">
        <v>8.1365696537493995E-2</v>
      </c>
      <c r="F38" s="9">
        <v>0.42212079570491201</v>
      </c>
      <c r="G38" s="9">
        <v>0.311861136490033</v>
      </c>
      <c r="H38" s="9">
        <v>6.0976145505827102</v>
      </c>
      <c r="I38" s="9">
        <v>0.462173859416663</v>
      </c>
      <c r="J38" s="9">
        <v>4.651833510226918E-2</v>
      </c>
    </row>
    <row r="39" spans="1:10" ht="15.75" customHeight="1" x14ac:dyDescent="0.35">
      <c r="A39" s="4">
        <v>2450</v>
      </c>
      <c r="B39" s="4" t="s">
        <v>23</v>
      </c>
      <c r="C39" s="4">
        <v>74</v>
      </c>
      <c r="D39" s="8">
        <v>0.44973513974104101</v>
      </c>
      <c r="E39" s="8">
        <v>0.146109724979888</v>
      </c>
      <c r="F39" s="8">
        <v>0.44912415614502699</v>
      </c>
      <c r="G39" s="8">
        <v>0.81776373860557094</v>
      </c>
      <c r="H39" s="8">
        <v>11.915544147205001</v>
      </c>
      <c r="I39" s="8">
        <v>1.01078316250152</v>
      </c>
      <c r="J39" s="8">
        <v>9.1731720863684404E-2</v>
      </c>
    </row>
    <row r="40" spans="1:10" ht="15.75" customHeight="1" x14ac:dyDescent="0.35">
      <c r="A40" s="5">
        <v>2450</v>
      </c>
      <c r="B40" s="5" t="s">
        <v>24</v>
      </c>
      <c r="C40" s="5">
        <v>74</v>
      </c>
      <c r="D40" s="9">
        <v>0.38948410921982302</v>
      </c>
      <c r="E40" s="9">
        <v>0.107980551470133</v>
      </c>
      <c r="F40" s="9">
        <v>0.45904635792883802</v>
      </c>
      <c r="G40" s="9">
        <v>0.72757322688429904</v>
      </c>
      <c r="H40" s="9">
        <v>5.45865143083335</v>
      </c>
      <c r="I40" s="9">
        <v>0.702549313688965</v>
      </c>
      <c r="J40" s="9">
        <v>7.2783729085777085E-2</v>
      </c>
    </row>
    <row r="41" spans="1:10" ht="15.75" customHeight="1" thickBot="1" x14ac:dyDescent="0.4">
      <c r="A41" s="6">
        <v>2450</v>
      </c>
      <c r="B41" s="6" t="s">
        <v>25</v>
      </c>
      <c r="C41" s="6">
        <v>74</v>
      </c>
      <c r="D41" s="10">
        <v>0.51035036994716798</v>
      </c>
      <c r="E41" s="10">
        <v>0.20624956082378601</v>
      </c>
      <c r="F41" s="10">
        <v>0.60801094700661995</v>
      </c>
      <c r="G41" s="10">
        <v>1.1998653260029699</v>
      </c>
      <c r="H41" s="10">
        <v>6.4864610565368199</v>
      </c>
      <c r="I41" s="10">
        <v>1.07017425871118</v>
      </c>
      <c r="J41" s="10">
        <v>0.1170943147994</v>
      </c>
    </row>
    <row r="42" spans="1:10" ht="15.75" customHeight="1" x14ac:dyDescent="0.35">
      <c r="A42" s="3">
        <v>3500</v>
      </c>
      <c r="B42" s="3" t="s">
        <v>18</v>
      </c>
      <c r="C42" s="3">
        <v>55</v>
      </c>
      <c r="D42" s="7">
        <v>0.238493560350995</v>
      </c>
      <c r="E42" s="7">
        <v>5.9966557345510901E-2</v>
      </c>
      <c r="F42" s="7">
        <v>0.24152042553738101</v>
      </c>
      <c r="G42" s="7">
        <v>0.36898388462739901</v>
      </c>
      <c r="H42" s="7">
        <v>3.9646252971335199</v>
      </c>
      <c r="I42" s="7">
        <v>0.34475364571732697</v>
      </c>
      <c r="J42" s="7">
        <v>2.1251329551387293E-2</v>
      </c>
    </row>
    <row r="43" spans="1:10" ht="15.75" customHeight="1" x14ac:dyDescent="0.35">
      <c r="A43" s="4">
        <v>3500</v>
      </c>
      <c r="B43" s="4" t="s">
        <v>19</v>
      </c>
      <c r="C43" s="4">
        <v>55</v>
      </c>
      <c r="D43" s="8">
        <v>0.27952779383919801</v>
      </c>
      <c r="E43" s="8">
        <v>6.6824055508438202E-2</v>
      </c>
      <c r="F43" s="8">
        <v>0.24051210473236201</v>
      </c>
      <c r="G43" s="8">
        <v>0.37677503449588001</v>
      </c>
      <c r="H43" s="8">
        <v>4.5454894075575201</v>
      </c>
      <c r="I43" s="8">
        <v>0.67948867153510295</v>
      </c>
      <c r="J43" s="8">
        <v>2.1667526812239626E-2</v>
      </c>
    </row>
    <row r="44" spans="1:10" ht="15.75" customHeight="1" x14ac:dyDescent="0.35">
      <c r="A44" s="5">
        <v>3500</v>
      </c>
      <c r="B44" s="5" t="s">
        <v>20</v>
      </c>
      <c r="C44" s="5">
        <v>55</v>
      </c>
      <c r="D44" s="9">
        <v>0.19215964832914101</v>
      </c>
      <c r="E44" s="9">
        <v>4.5155687343966501E-2</v>
      </c>
      <c r="F44" s="9">
        <v>0.198044669015256</v>
      </c>
      <c r="G44" s="9">
        <v>0.50699244528620102</v>
      </c>
      <c r="H44" s="9">
        <v>3.9379414658999301</v>
      </c>
      <c r="I44" s="9">
        <v>0.48440919847686698</v>
      </c>
      <c r="J44" s="9">
        <v>1.8782342861918547E-2</v>
      </c>
    </row>
    <row r="45" spans="1:10" ht="15.75" customHeight="1" x14ac:dyDescent="0.35">
      <c r="A45" s="4">
        <v>3500</v>
      </c>
      <c r="B45" s="4" t="s">
        <v>21</v>
      </c>
      <c r="C45" s="4">
        <v>55</v>
      </c>
      <c r="D45" s="8">
        <v>0.15302093595147601</v>
      </c>
      <c r="E45" s="8">
        <v>3.68825426238545E-2</v>
      </c>
      <c r="F45" s="8">
        <v>0.12753482342970801</v>
      </c>
      <c r="G45" s="8">
        <v>0.23935887733460801</v>
      </c>
      <c r="H45" s="8">
        <v>4.26936559485054</v>
      </c>
      <c r="I45" s="8">
        <v>0.35332038837386998</v>
      </c>
      <c r="J45" s="8">
        <v>1.1119244648487309E-2</v>
      </c>
    </row>
    <row r="46" spans="1:10" ht="15.75" customHeight="1" x14ac:dyDescent="0.35">
      <c r="A46" s="5">
        <v>3500</v>
      </c>
      <c r="B46" s="5" t="s">
        <v>22</v>
      </c>
      <c r="C46" s="5">
        <v>55</v>
      </c>
      <c r="D46" s="9">
        <v>0.23278165133784001</v>
      </c>
      <c r="E46" s="9">
        <v>5.1722541607326603E-2</v>
      </c>
      <c r="F46" s="9">
        <v>0.22668379814793399</v>
      </c>
      <c r="G46" s="9">
        <v>0.50559000782894004</v>
      </c>
      <c r="H46" s="9">
        <v>5.0217923276390204</v>
      </c>
      <c r="I46" s="9">
        <v>0.65597851647337502</v>
      </c>
      <c r="J46" s="9">
        <v>2.1661914081038163E-2</v>
      </c>
    </row>
    <row r="47" spans="1:10" ht="15.75" customHeight="1" x14ac:dyDescent="0.35">
      <c r="A47" s="4">
        <v>3500</v>
      </c>
      <c r="B47" s="4" t="s">
        <v>23</v>
      </c>
      <c r="C47" s="4">
        <v>55</v>
      </c>
      <c r="D47" s="8">
        <v>0.314461941282488</v>
      </c>
      <c r="E47" s="8">
        <v>7.5709116199431395E-2</v>
      </c>
      <c r="F47" s="8">
        <v>0.315874635240533</v>
      </c>
      <c r="G47" s="8">
        <v>0.63754735464127299</v>
      </c>
      <c r="H47" s="8">
        <v>3.7586951281301202</v>
      </c>
      <c r="I47" s="8">
        <v>0.83012646398682099</v>
      </c>
      <c r="J47" s="8">
        <v>2.8755363362014237E-2</v>
      </c>
    </row>
    <row r="48" spans="1:10" ht="15.75" customHeight="1" x14ac:dyDescent="0.35">
      <c r="A48" s="5">
        <v>3500</v>
      </c>
      <c r="B48" s="5" t="s">
        <v>24</v>
      </c>
      <c r="C48" s="5">
        <v>55</v>
      </c>
      <c r="D48" s="9">
        <v>0.20957658726157899</v>
      </c>
      <c r="E48" s="9">
        <v>8.7408469821514997E-2</v>
      </c>
      <c r="F48" s="9">
        <v>0.20746906226224901</v>
      </c>
      <c r="G48" s="9">
        <v>1.13592732200906</v>
      </c>
      <c r="H48" s="9">
        <v>4.4670400558751098</v>
      </c>
      <c r="I48" s="9">
        <v>0.91533483538680804</v>
      </c>
      <c r="J48" s="9">
        <v>3.0487862060807319E-2</v>
      </c>
    </row>
    <row r="49" spans="1:10" ht="15.75" customHeight="1" thickBot="1" x14ac:dyDescent="0.4">
      <c r="A49" s="6">
        <v>3500</v>
      </c>
      <c r="B49" s="6" t="s">
        <v>25</v>
      </c>
      <c r="C49" s="6">
        <v>55</v>
      </c>
      <c r="D49" s="10">
        <v>0.27219420473692402</v>
      </c>
      <c r="E49" s="10">
        <v>8.2675013345067994E-2</v>
      </c>
      <c r="F49" s="10">
        <v>0.24774162769796701</v>
      </c>
      <c r="G49" s="10">
        <v>0.53381996781207897</v>
      </c>
      <c r="H49" s="10">
        <v>4.0164774651685597</v>
      </c>
      <c r="I49" s="10">
        <v>1.23205108494441</v>
      </c>
      <c r="J49" s="10">
        <v>3.3775159348087017E-2</v>
      </c>
    </row>
    <row r="50" spans="1:10" ht="15.75" customHeight="1" x14ac:dyDescent="0.35">
      <c r="A50" s="3">
        <v>5200</v>
      </c>
      <c r="B50" s="3" t="s">
        <v>18</v>
      </c>
      <c r="C50" s="3">
        <v>53</v>
      </c>
      <c r="D50" s="7">
        <v>0.177202021671933</v>
      </c>
      <c r="E50" s="7">
        <v>3.9898153345310702E-2</v>
      </c>
      <c r="F50" s="7">
        <v>0.13774598021255199</v>
      </c>
      <c r="G50" s="7">
        <v>0.71703238202682595</v>
      </c>
      <c r="H50" s="7">
        <v>3.36241543441762</v>
      </c>
      <c r="I50" s="7">
        <v>0.56151420482710801</v>
      </c>
      <c r="J50" s="7">
        <v>7.6866949214990767E-3</v>
      </c>
    </row>
    <row r="51" spans="1:10" ht="15.75" customHeight="1" x14ac:dyDescent="0.35">
      <c r="A51" s="4">
        <v>5200</v>
      </c>
      <c r="B51" s="4" t="s">
        <v>19</v>
      </c>
      <c r="C51" s="4">
        <v>53</v>
      </c>
      <c r="D51" s="8">
        <v>0.166563184108759</v>
      </c>
      <c r="E51" s="8">
        <v>2.48777945059699E-2</v>
      </c>
      <c r="F51" s="8">
        <v>0.115113930746174</v>
      </c>
      <c r="G51" s="8">
        <v>0.26321433220927798</v>
      </c>
      <c r="H51" s="8">
        <v>4.8445721220446503</v>
      </c>
      <c r="I51" s="8">
        <v>0.26055100937286702</v>
      </c>
      <c r="J51" s="8">
        <v>5.0978126265595509E-3</v>
      </c>
    </row>
    <row r="52" spans="1:10" ht="15.75" customHeight="1" x14ac:dyDescent="0.35">
      <c r="A52" s="5">
        <v>5200</v>
      </c>
      <c r="B52" s="5" t="s">
        <v>20</v>
      </c>
      <c r="C52" s="5">
        <v>53</v>
      </c>
      <c r="D52" s="9">
        <v>0.139687758585057</v>
      </c>
      <c r="E52" s="9">
        <v>4.9087040792645802E-2</v>
      </c>
      <c r="F52" s="9">
        <v>0.113419574545176</v>
      </c>
      <c r="G52" s="9">
        <v>1.34760268726025</v>
      </c>
      <c r="H52" s="9">
        <v>2.7395436485225102</v>
      </c>
      <c r="I52" s="9">
        <v>0.98613007975498301</v>
      </c>
      <c r="J52" s="9">
        <v>1.2296905660842924E-2</v>
      </c>
    </row>
    <row r="53" spans="1:10" ht="15.75" customHeight="1" x14ac:dyDescent="0.35">
      <c r="A53" s="4">
        <v>5200</v>
      </c>
      <c r="B53" s="4" t="s">
        <v>21</v>
      </c>
      <c r="C53" s="4">
        <v>53</v>
      </c>
      <c r="D53" s="8">
        <v>0.11698483129319399</v>
      </c>
      <c r="E53" s="8">
        <v>2.0051801189509999E-2</v>
      </c>
      <c r="F53" s="8">
        <v>8.3367026596900096E-2</v>
      </c>
      <c r="G53" s="8">
        <v>0.356597230889381</v>
      </c>
      <c r="H53" s="8">
        <v>3.0963742453355398</v>
      </c>
      <c r="I53" s="8">
        <v>0.30268732446911301</v>
      </c>
      <c r="J53" s="8">
        <v>3.9840165393300155E-3</v>
      </c>
    </row>
    <row r="54" spans="1:10" ht="15.75" customHeight="1" x14ac:dyDescent="0.35">
      <c r="A54" s="5">
        <v>5200</v>
      </c>
      <c r="B54" s="5" t="s">
        <v>22</v>
      </c>
      <c r="C54" s="5">
        <v>53</v>
      </c>
      <c r="D54" s="9">
        <v>0.166694279272739</v>
      </c>
      <c r="E54" s="9">
        <v>3.6837147039199901E-2</v>
      </c>
      <c r="F54" s="9">
        <v>0.13418584446271201</v>
      </c>
      <c r="G54" s="9">
        <v>0.42508626212884998</v>
      </c>
      <c r="H54" s="9">
        <v>3.8433808982152802</v>
      </c>
      <c r="I54" s="9">
        <v>0.55295325484975499</v>
      </c>
      <c r="J54" s="9">
        <v>7.5442443995855646E-3</v>
      </c>
    </row>
    <row r="55" spans="1:10" ht="15.75" customHeight="1" x14ac:dyDescent="0.35">
      <c r="A55" s="4">
        <v>5200</v>
      </c>
      <c r="B55" s="4" t="s">
        <v>23</v>
      </c>
      <c r="C55" s="4">
        <v>53</v>
      </c>
      <c r="D55" s="8">
        <v>0.19806812320817099</v>
      </c>
      <c r="E55" s="8">
        <v>2.87633851828452E-2</v>
      </c>
      <c r="F55" s="8">
        <v>0.14360250680519401</v>
      </c>
      <c r="G55" s="8">
        <v>0.23936502840721199</v>
      </c>
      <c r="H55" s="8">
        <v>3.3586648435083801</v>
      </c>
      <c r="I55" s="8">
        <v>0.35497330557134499</v>
      </c>
      <c r="J55" s="8">
        <v>6.2540341189606004E-3</v>
      </c>
    </row>
    <row r="56" spans="1:10" ht="15.75" customHeight="1" x14ac:dyDescent="0.35">
      <c r="A56" s="5">
        <v>5200</v>
      </c>
      <c r="B56" s="5" t="s">
        <v>24</v>
      </c>
      <c r="C56" s="5">
        <v>53</v>
      </c>
      <c r="D56" s="9">
        <v>0.17664847800882999</v>
      </c>
      <c r="E56" s="9">
        <v>8.2148472791796906E-2</v>
      </c>
      <c r="F56" s="9">
        <v>0.13307388187455099</v>
      </c>
      <c r="G56" s="9">
        <v>1.6923954579889899</v>
      </c>
      <c r="H56" s="9">
        <v>5.0573218628482302</v>
      </c>
      <c r="I56" s="9">
        <v>1.4079406107638499</v>
      </c>
      <c r="J56" s="9">
        <v>1.5882220867632305E-2</v>
      </c>
    </row>
    <row r="57" spans="1:10" ht="15.75" customHeight="1" thickBot="1" x14ac:dyDescent="0.4">
      <c r="A57" s="6">
        <v>5200</v>
      </c>
      <c r="B57" s="6" t="s">
        <v>25</v>
      </c>
      <c r="C57" s="6">
        <v>53</v>
      </c>
      <c r="D57" s="10">
        <v>0.18324225155562299</v>
      </c>
      <c r="E57" s="10">
        <v>4.7857558180642003E-2</v>
      </c>
      <c r="F57" s="10">
        <v>0.14707769900472401</v>
      </c>
      <c r="G57" s="10">
        <v>0.75720347334038196</v>
      </c>
      <c r="H57" s="10">
        <v>3.35268021483988</v>
      </c>
      <c r="I57" s="10">
        <v>0.68719192319532096</v>
      </c>
      <c r="J57" s="10">
        <v>9.6818448262648883E-3</v>
      </c>
    </row>
    <row r="58" spans="1:10" ht="15.75" customHeight="1" x14ac:dyDescent="0.35">
      <c r="A58" s="3">
        <v>5800</v>
      </c>
      <c r="B58" s="3" t="s">
        <v>18</v>
      </c>
      <c r="C58" s="3">
        <v>54</v>
      </c>
      <c r="D58" s="7">
        <v>0.170270091891042</v>
      </c>
      <c r="E58" s="7">
        <v>3.9678964140827902E-2</v>
      </c>
      <c r="F58" s="7">
        <v>0.119069261109586</v>
      </c>
      <c r="G58" s="7">
        <v>0.60106814515499796</v>
      </c>
      <c r="H58" s="7">
        <v>2.7334313425545198</v>
      </c>
      <c r="I58" s="7">
        <v>0.50498595117098</v>
      </c>
      <c r="J58" s="7">
        <v>6.0052958146803431E-3</v>
      </c>
    </row>
    <row r="59" spans="1:10" ht="15.75" customHeight="1" x14ac:dyDescent="0.35">
      <c r="A59" s="4">
        <v>5800</v>
      </c>
      <c r="B59" s="4" t="s">
        <v>19</v>
      </c>
      <c r="C59" s="4">
        <v>54</v>
      </c>
      <c r="D59" s="8">
        <v>0.164675322444787</v>
      </c>
      <c r="E59" s="8">
        <v>3.2564082202442703E-2</v>
      </c>
      <c r="F59" s="8">
        <v>0.11525127925361001</v>
      </c>
      <c r="G59" s="8">
        <v>0.41711451385624199</v>
      </c>
      <c r="H59" s="8">
        <v>4.6735334511772999</v>
      </c>
      <c r="I59" s="8">
        <v>0.41711451385624199</v>
      </c>
      <c r="J59" s="8">
        <v>5.4548125645231668E-3</v>
      </c>
    </row>
    <row r="60" spans="1:10" ht="15.75" customHeight="1" x14ac:dyDescent="0.35">
      <c r="A60" s="5">
        <v>5800</v>
      </c>
      <c r="B60" s="5" t="s">
        <v>20</v>
      </c>
      <c r="C60" s="5">
        <v>54</v>
      </c>
      <c r="D60" s="9">
        <v>0.13819120670565799</v>
      </c>
      <c r="E60" s="9">
        <v>5.0810079129874099E-2</v>
      </c>
      <c r="F60" s="9">
        <v>0.100001239373255</v>
      </c>
      <c r="G60" s="9">
        <v>1.2672899290549799</v>
      </c>
      <c r="H60" s="9">
        <v>2.2257107154827098</v>
      </c>
      <c r="I60" s="9">
        <v>1.0184584817365501</v>
      </c>
      <c r="J60" s="9">
        <v>1.003640460590152E-2</v>
      </c>
    </row>
    <row r="61" spans="1:10" ht="15.75" customHeight="1" x14ac:dyDescent="0.35">
      <c r="A61" s="4">
        <v>5800</v>
      </c>
      <c r="B61" s="4" t="s">
        <v>21</v>
      </c>
      <c r="C61" s="4">
        <v>54</v>
      </c>
      <c r="D61" s="8">
        <v>0.13107393822112601</v>
      </c>
      <c r="E61" s="8">
        <v>2.7541713857720501E-2</v>
      </c>
      <c r="F61" s="8">
        <v>8.4902250267158502E-2</v>
      </c>
      <c r="G61" s="8">
        <v>0.54414340359422497</v>
      </c>
      <c r="H61" s="8">
        <v>4.0297590036775297</v>
      </c>
      <c r="I61" s="8">
        <v>0.47695614386215601</v>
      </c>
      <c r="J61" s="8">
        <v>3.472817832209337E-3</v>
      </c>
    </row>
    <row r="62" spans="1:10" ht="15.75" customHeight="1" x14ac:dyDescent="0.35">
      <c r="A62" s="5">
        <v>5800</v>
      </c>
      <c r="B62" s="5" t="s">
        <v>22</v>
      </c>
      <c r="C62" s="5">
        <v>54</v>
      </c>
      <c r="D62" s="9">
        <v>0.158721613954905</v>
      </c>
      <c r="E62" s="9">
        <v>3.2304060852290303E-2</v>
      </c>
      <c r="F62" s="9">
        <v>0.118972256003137</v>
      </c>
      <c r="G62" s="9">
        <v>0.437909203445287</v>
      </c>
      <c r="H62" s="9">
        <v>3.1199489889532401</v>
      </c>
      <c r="I62" s="9">
        <v>0.37744984462576597</v>
      </c>
      <c r="J62" s="9">
        <v>4.9323618741506387E-3</v>
      </c>
    </row>
    <row r="63" spans="1:10" ht="15.75" customHeight="1" x14ac:dyDescent="0.35">
      <c r="A63" s="4">
        <v>5800</v>
      </c>
      <c r="B63" s="4" t="s">
        <v>23</v>
      </c>
      <c r="C63" s="4">
        <v>54</v>
      </c>
      <c r="D63" s="8">
        <v>0.19730580085067601</v>
      </c>
      <c r="E63" s="8">
        <v>4.0052361655764201E-2</v>
      </c>
      <c r="F63" s="8">
        <v>0.137821359400711</v>
      </c>
      <c r="G63" s="8">
        <v>0.42286078745111899</v>
      </c>
      <c r="H63" s="8">
        <v>3.60050289076568</v>
      </c>
      <c r="I63" s="8">
        <v>0.421469716747159</v>
      </c>
      <c r="J63" s="8">
        <v>6.7089386423614585E-3</v>
      </c>
    </row>
    <row r="64" spans="1:10" ht="15.75" customHeight="1" x14ac:dyDescent="0.35">
      <c r="A64" s="5">
        <v>5800</v>
      </c>
      <c r="B64" s="5" t="s">
        <v>24</v>
      </c>
      <c r="C64" s="5">
        <v>54</v>
      </c>
      <c r="D64" s="9">
        <v>0.169932588064649</v>
      </c>
      <c r="E64" s="9">
        <v>7.3189967444043103E-2</v>
      </c>
      <c r="F64" s="9">
        <v>0.124298299576437</v>
      </c>
      <c r="G64" s="9">
        <v>1.65244853934077</v>
      </c>
      <c r="H64" s="9">
        <v>4.94351785599219</v>
      </c>
      <c r="I64" s="9">
        <v>1.4999481237154499</v>
      </c>
      <c r="J64" s="9">
        <v>1.27028743675545E-2</v>
      </c>
    </row>
    <row r="65" spans="1:10" ht="15.75" customHeight="1" thickBot="1" x14ac:dyDescent="0.4">
      <c r="A65" s="6">
        <v>5800</v>
      </c>
      <c r="B65" s="6" t="s">
        <v>25</v>
      </c>
      <c r="C65" s="6">
        <v>54</v>
      </c>
      <c r="D65" s="10">
        <v>0.17553904619187899</v>
      </c>
      <c r="E65" s="10">
        <v>5.05260242841701E-2</v>
      </c>
      <c r="F65" s="10">
        <v>0.121478725221682</v>
      </c>
      <c r="G65" s="10">
        <v>0.87381341449321204</v>
      </c>
      <c r="H65" s="10">
        <v>3.3063374708183901</v>
      </c>
      <c r="I65" s="10">
        <v>0.82485238688856</v>
      </c>
      <c r="J65" s="10">
        <v>8.9709879361290507E-3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5"/>
  <sheetViews>
    <sheetView tabSelected="1" zoomScale="116" zoomScaleNormal="248" workbookViewId="0">
      <selection activeCell="M22" sqref="M22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31.81640625" customWidth="1"/>
  </cols>
  <sheetData>
    <row r="1" spans="1:12" ht="16.5" customHeight="1" thickBot="1" x14ac:dyDescent="0.4">
      <c r="A1" s="1" t="s">
        <v>0</v>
      </c>
      <c r="B1" s="1" t="s">
        <v>1</v>
      </c>
      <c r="C1" s="2" t="s">
        <v>17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2" ht="14.25" customHeight="1" x14ac:dyDescent="0.35">
      <c r="A2" s="3">
        <v>700</v>
      </c>
      <c r="B2" s="3" t="s">
        <v>18</v>
      </c>
      <c r="C2" s="3">
        <v>1</v>
      </c>
      <c r="D2" s="7">
        <f>Table2[[#This Row],[SAR_wholebody (mW/kg)]]*10^3/Table2[[#This Row],[Input Power (mW)]]</f>
        <v>2.5557599726975804</v>
      </c>
      <c r="E2" s="7">
        <f>Table2[[#This Row],[SAR_head (mW/kg)]]*10^3/Table2[[#This Row],[Input Power (mW)]]</f>
        <v>1.2057327663585433</v>
      </c>
      <c r="F2" s="7">
        <f>Table2[[#This Row],[SAR_trunk (mW/kg)]]*10^3/Table2[[#This Row],[Input Power (mW)]]</f>
        <v>2.0559245601144345</v>
      </c>
      <c r="G2" s="7">
        <f>Table2[[#This Row],[psSAR10g_eyes (mW/kg)]]*10^3/Table2[[#This Row],[Input Power (mW)]]</f>
        <v>1.8647064482272921</v>
      </c>
      <c r="H2" s="7">
        <f>Table2[[#This Row],[psSAR10g_skin (mW/kg)]]*10^3/Table2[[#This Row],[Input Power (mW)]]</f>
        <v>28.714568664410972</v>
      </c>
      <c r="I2" s="7">
        <f>Table2[[#This Row],[psSAR10g_brain (mW/kg)]]*10^3/Table2[[#This Row],[Input Power (mW)]]</f>
        <v>3.2650707650039701</v>
      </c>
      <c r="J2" s="7">
        <f>Table2[[#This Row],[SAR_brain (mW/kg)]]*10^3/Table2[[#This Row],[Input Power (mW)]]</f>
        <v>1.1801814643329587</v>
      </c>
      <c r="L2" s="11"/>
    </row>
    <row r="3" spans="1:12" ht="15.75" customHeight="1" x14ac:dyDescent="0.35">
      <c r="A3" s="4">
        <v>700</v>
      </c>
      <c r="B3" s="4" t="s">
        <v>19</v>
      </c>
      <c r="C3" s="4">
        <v>1</v>
      </c>
      <c r="D3" s="8">
        <f>Table2[[#This Row],[SAR_wholebody (mW/kg)]]*10^3/Table2[[#This Row],[Input Power (mW)]]</f>
        <v>1.8449199062442361</v>
      </c>
      <c r="E3" s="8">
        <f>Table2[[#This Row],[SAR_head (mW/kg)]]*10^3/Table2[[#This Row],[Input Power (mW)]]</f>
        <v>0.26239396367344564</v>
      </c>
      <c r="F3" s="8">
        <f>Table2[[#This Row],[SAR_trunk (mW/kg)]]*10^3/Table2[[#This Row],[Input Power (mW)]]</f>
        <v>0.95222338995690647</v>
      </c>
      <c r="G3" s="8">
        <f>Table2[[#This Row],[psSAR10g_eyes (mW/kg)]]*10^3/Table2[[#This Row],[Input Power (mW)]]</f>
        <v>0.48587170939049812</v>
      </c>
      <c r="H3" s="8">
        <f>Table2[[#This Row],[psSAR10g_skin (mW/kg)]]*10^3/Table2[[#This Row],[Input Power (mW)]]</f>
        <v>16.71080899305959</v>
      </c>
      <c r="I3" s="8">
        <f>Table2[[#This Row],[psSAR10g_brain (mW/kg)]]*10^3/Table2[[#This Row],[Input Power (mW)]]</f>
        <v>4.2582433907190635</v>
      </c>
      <c r="J3" s="8">
        <f>Table2[[#This Row],[SAR_brain (mW/kg)]]*10^3/Table2[[#This Row],[Input Power (mW)]]</f>
        <v>0.14504509803150747</v>
      </c>
      <c r="L3" s="11"/>
    </row>
    <row r="4" spans="1:12" ht="15.75" customHeight="1" x14ac:dyDescent="0.35">
      <c r="A4" s="5">
        <v>700</v>
      </c>
      <c r="B4" s="5" t="s">
        <v>20</v>
      </c>
      <c r="C4" s="5">
        <v>1</v>
      </c>
      <c r="D4" s="9">
        <f>Table2[[#This Row],[SAR_wholebody (mW/kg)]]*10^3/Table2[[#This Row],[Input Power (mW)]]</f>
        <v>0.49791137100631838</v>
      </c>
      <c r="E4" s="9">
        <f>Table2[[#This Row],[SAR_head (mW/kg)]]*10^3/Table2[[#This Row],[Input Power (mW)]]</f>
        <v>7.1607244709383885E-2</v>
      </c>
      <c r="F4" s="9">
        <f>Table2[[#This Row],[SAR_trunk (mW/kg)]]*10^3/Table2[[#This Row],[Input Power (mW)]]</f>
        <v>0.28033418443261982</v>
      </c>
      <c r="G4" s="9">
        <f>Table2[[#This Row],[psSAR10g_eyes (mW/kg)]]*10^3/Table2[[#This Row],[Input Power (mW)]]</f>
        <v>0.22095842506201385</v>
      </c>
      <c r="H4" s="9">
        <f>Table2[[#This Row],[psSAR10g_skin (mW/kg)]]*10^3/Table2[[#This Row],[Input Power (mW)]]</f>
        <v>9.3138314788184271</v>
      </c>
      <c r="I4" s="9">
        <f>Table2[[#This Row],[psSAR10g_brain (mW/kg)]]*10^3/Table2[[#This Row],[Input Power (mW)]]</f>
        <v>0.54002051064565182</v>
      </c>
      <c r="J4" s="9">
        <f>Table2[[#This Row],[SAR_brain (mW/kg)]]*10^3/Table2[[#This Row],[Input Power (mW)]]</f>
        <v>6.634084745981482E-2</v>
      </c>
      <c r="L4" s="11"/>
    </row>
    <row r="5" spans="1:12" ht="15.75" customHeight="1" x14ac:dyDescent="0.35">
      <c r="A5" s="4">
        <v>700</v>
      </c>
      <c r="B5" s="4" t="s">
        <v>21</v>
      </c>
      <c r="C5" s="4">
        <v>1</v>
      </c>
      <c r="D5" s="8">
        <f>Table2[[#This Row],[SAR_wholebody (mW/kg)]]*10^3/Table2[[#This Row],[Input Power (mW)]]</f>
        <v>6.9087271040041198E-2</v>
      </c>
      <c r="E5" s="8">
        <f>Table2[[#This Row],[SAR_head (mW/kg)]]*10^3/Table2[[#This Row],[Input Power (mW)]]</f>
        <v>9.3034867552127341E-3</v>
      </c>
      <c r="F5" s="8">
        <f>Table2[[#This Row],[SAR_trunk (mW/kg)]]*10^3/Table2[[#This Row],[Input Power (mW)]]</f>
        <v>6.3490476656577893E-2</v>
      </c>
      <c r="G5" s="8">
        <f>Table2[[#This Row],[psSAR10g_eyes (mW/kg)]]*10^3/Table2[[#This Row],[Input Power (mW)]]</f>
        <v>3.5467337663260295E-2</v>
      </c>
      <c r="H5" s="8">
        <f>Table2[[#This Row],[psSAR10g_skin (mW/kg)]]*10^3/Table2[[#This Row],[Input Power (mW)]]</f>
        <v>1.3439540178709364</v>
      </c>
      <c r="I5" s="8">
        <f>Table2[[#This Row],[psSAR10g_brain (mW/kg)]]*10^3/Table2[[#This Row],[Input Power (mW)]]</f>
        <v>3.0484877805208241E-2</v>
      </c>
      <c r="J5" s="8">
        <f>Table2[[#This Row],[SAR_brain (mW/kg)]]*10^3/Table2[[#This Row],[Input Power (mW)]]</f>
        <v>7.2702330646350049E-3</v>
      </c>
      <c r="L5" s="11"/>
    </row>
    <row r="6" spans="1:12" ht="15.75" customHeight="1" x14ac:dyDescent="0.35">
      <c r="A6" s="5">
        <v>700</v>
      </c>
      <c r="B6" s="5" t="s">
        <v>22</v>
      </c>
      <c r="C6" s="5">
        <v>1</v>
      </c>
      <c r="D6" s="9">
        <f>Table2[[#This Row],[SAR_wholebody (mW/kg)]]*10^3/Table2[[#This Row],[Input Power (mW)]]</f>
        <v>2.2742440807853446</v>
      </c>
      <c r="E6" s="9">
        <f>Table2[[#This Row],[SAR_head (mW/kg)]]*10^3/Table2[[#This Row],[Input Power (mW)]]</f>
        <v>0.64647962387633706</v>
      </c>
      <c r="F6" s="9">
        <f>Table2[[#This Row],[SAR_trunk (mW/kg)]]*10^3/Table2[[#This Row],[Input Power (mW)]]</f>
        <v>2.0999556109029514</v>
      </c>
      <c r="G6" s="9">
        <f>Table2[[#This Row],[psSAR10g_eyes (mW/kg)]]*10^3/Table2[[#This Row],[Input Power (mW)]]</f>
        <v>1.6417456056553372</v>
      </c>
      <c r="H6" s="9">
        <f>Table2[[#This Row],[psSAR10g_skin (mW/kg)]]*10^3/Table2[[#This Row],[Input Power (mW)]]</f>
        <v>20.198306271791576</v>
      </c>
      <c r="I6" s="9">
        <f>Table2[[#This Row],[psSAR10g_brain (mW/kg)]]*10^3/Table2[[#This Row],[Input Power (mW)]]</f>
        <v>2.7494234672751463</v>
      </c>
      <c r="J6" s="9">
        <f>Table2[[#This Row],[SAR_brain (mW/kg)]]*10^3/Table2[[#This Row],[Input Power (mW)]]</f>
        <v>0.64661720624232211</v>
      </c>
      <c r="L6" s="11"/>
    </row>
    <row r="7" spans="1:12" ht="15.75" customHeight="1" x14ac:dyDescent="0.35">
      <c r="A7" s="4">
        <v>700</v>
      </c>
      <c r="B7" s="4" t="s">
        <v>23</v>
      </c>
      <c r="C7" s="4">
        <v>1</v>
      </c>
      <c r="D7" s="8">
        <f>Table2[[#This Row],[SAR_wholebody (mW/kg)]]*10^3/Table2[[#This Row],[Input Power (mW)]]</f>
        <v>1.75418918682021</v>
      </c>
      <c r="E7" s="8">
        <f>Table2[[#This Row],[SAR_head (mW/kg)]]*10^3/Table2[[#This Row],[Input Power (mW)]]</f>
        <v>0.18573196110713408</v>
      </c>
      <c r="F7" s="8">
        <f>Table2[[#This Row],[SAR_trunk (mW/kg)]]*10^3/Table2[[#This Row],[Input Power (mW)]]</f>
        <v>1.0245405621760448</v>
      </c>
      <c r="G7" s="8">
        <f>Table2[[#This Row],[psSAR10g_eyes (mW/kg)]]*10^3/Table2[[#This Row],[Input Power (mW)]]</f>
        <v>0.27295717187501423</v>
      </c>
      <c r="H7" s="8">
        <f>Table2[[#This Row],[psSAR10g_skin (mW/kg)]]*10^3/Table2[[#This Row],[Input Power (mW)]]</f>
        <v>51.368829244287639</v>
      </c>
      <c r="I7" s="8">
        <f>Table2[[#This Row],[psSAR10g_brain (mW/kg)]]*10^3/Table2[[#This Row],[Input Power (mW)]]</f>
        <v>1.5550394479595542</v>
      </c>
      <c r="J7" s="8">
        <f>Table2[[#This Row],[SAR_brain (mW/kg)]]*10^3/Table2[[#This Row],[Input Power (mW)]]</f>
        <v>0.15207703647829335</v>
      </c>
      <c r="L7" s="11"/>
    </row>
    <row r="8" spans="1:12" ht="15.75" customHeight="1" x14ac:dyDescent="0.35">
      <c r="A8" s="5">
        <v>700</v>
      </c>
      <c r="B8" s="5" t="s">
        <v>24</v>
      </c>
      <c r="C8" s="5">
        <v>1</v>
      </c>
      <c r="D8" s="9">
        <f>Table2[[#This Row],[SAR_wholebody (mW/kg)]]*10^3/Table2[[#This Row],[Input Power (mW)]]</f>
        <v>2.5599528216205765</v>
      </c>
      <c r="E8" s="9">
        <f>Table2[[#This Row],[SAR_head (mW/kg)]]*10^3/Table2[[#This Row],[Input Power (mW)]]</f>
        <v>1.220665900940427</v>
      </c>
      <c r="F8" s="9">
        <f>Table2[[#This Row],[SAR_trunk (mW/kg)]]*10^3/Table2[[#This Row],[Input Power (mW)]]</f>
        <v>2.689177820933176</v>
      </c>
      <c r="G8" s="9">
        <f>Table2[[#This Row],[psSAR10g_eyes (mW/kg)]]*10^3/Table2[[#This Row],[Input Power (mW)]]</f>
        <v>3.180811116952277</v>
      </c>
      <c r="H8" s="9">
        <f>Table2[[#This Row],[psSAR10g_skin (mW/kg)]]*10^3/Table2[[#This Row],[Input Power (mW)]]</f>
        <v>32.154787576550042</v>
      </c>
      <c r="I8" s="9">
        <f>Table2[[#This Row],[psSAR10g_brain (mW/kg)]]*10^3/Table2[[#This Row],[Input Power (mW)]]</f>
        <v>5.3411745226894753</v>
      </c>
      <c r="J8" s="9">
        <f>Table2[[#This Row],[SAR_brain (mW/kg)]]*10^3/Table2[[#This Row],[Input Power (mW)]]</f>
        <v>1.2281639170172283</v>
      </c>
      <c r="L8" s="11"/>
    </row>
    <row r="9" spans="1:12" ht="15.75" customHeight="1" thickBot="1" x14ac:dyDescent="0.4">
      <c r="A9" s="6">
        <v>700</v>
      </c>
      <c r="B9" s="6" t="s">
        <v>25</v>
      </c>
      <c r="C9" s="6">
        <v>1</v>
      </c>
      <c r="D9" s="10">
        <f>Table2[[#This Row],[SAR_wholebody (mW/kg)]]*10^3/Table2[[#This Row],[Input Power (mW)]]</f>
        <v>1.8316797857171609</v>
      </c>
      <c r="E9" s="10">
        <f>Table2[[#This Row],[SAR_head (mW/kg)]]*10^3/Table2[[#This Row],[Input Power (mW)]]</f>
        <v>0.46165770713907117</v>
      </c>
      <c r="F9" s="10">
        <f>Table2[[#This Row],[SAR_trunk (mW/kg)]]*10^3/Table2[[#This Row],[Input Power (mW)]]</f>
        <v>1.7697569358795917</v>
      </c>
      <c r="G9" s="10">
        <f>Table2[[#This Row],[psSAR10g_eyes (mW/kg)]]*10^3/Table2[[#This Row],[Input Power (mW)]]</f>
        <v>1.0994573605581497</v>
      </c>
      <c r="H9" s="10">
        <f>Table2[[#This Row],[psSAR10g_skin (mW/kg)]]*10^3/Table2[[#This Row],[Input Power (mW)]]</f>
        <v>14.735612596059664</v>
      </c>
      <c r="I9" s="10">
        <f>Table2[[#This Row],[psSAR10g_brain (mW/kg)]]*10^3/Table2[[#This Row],[Input Power (mW)]]</f>
        <v>5.905235904584794</v>
      </c>
      <c r="J9" s="10">
        <f>Table2[[#This Row],[SAR_brain (mW/kg)]]*10^3/Table2[[#This Row],[Input Power (mW)]]</f>
        <v>0.25779800177239587</v>
      </c>
      <c r="L9" s="11"/>
    </row>
    <row r="10" spans="1:12" ht="15.75" customHeight="1" x14ac:dyDescent="0.35">
      <c r="A10" s="3">
        <v>835</v>
      </c>
      <c r="B10" s="3" t="s">
        <v>18</v>
      </c>
      <c r="C10" s="3">
        <v>1</v>
      </c>
      <c r="D10" s="7">
        <f>Table2[[#This Row],[SAR_wholebody (mW/kg)]]*10^3/Table2[[#This Row],[Input Power (mW)]]</f>
        <v>5.5069894171118863</v>
      </c>
      <c r="E10" s="7">
        <f>Table2[[#This Row],[SAR_head (mW/kg)]]*10^3/Table2[[#This Row],[Input Power (mW)]]</f>
        <v>1.0491514232758552</v>
      </c>
      <c r="F10" s="7">
        <f>Table2[[#This Row],[SAR_trunk (mW/kg)]]*10^3/Table2[[#This Row],[Input Power (mW)]]</f>
        <v>4.1394693369984701</v>
      </c>
      <c r="G10" s="7">
        <f>Table2[[#This Row],[psSAR10g_eyes (mW/kg)]]*10^3/Table2[[#This Row],[Input Power (mW)]]</f>
        <v>3.8854502596236711</v>
      </c>
      <c r="H10" s="7">
        <f>Table2[[#This Row],[psSAR10g_skin (mW/kg)]]*10^3/Table2[[#This Row],[Input Power (mW)]]</f>
        <v>74.42393774287369</v>
      </c>
      <c r="I10" s="7">
        <f>Table2[[#This Row],[psSAR10g_brain (mW/kg)]]*10^3/Table2[[#This Row],[Input Power (mW)]]</f>
        <v>3.5458927552130657</v>
      </c>
      <c r="J10" s="7">
        <f>Table2[[#This Row],[SAR_brain (mW/kg)]]*10^3/Table2[[#This Row],[Input Power (mW)]]</f>
        <v>0.91283256709649119</v>
      </c>
      <c r="L10" s="11"/>
    </row>
    <row r="11" spans="1:12" ht="15.75" customHeight="1" x14ac:dyDescent="0.35">
      <c r="A11" s="4">
        <v>835</v>
      </c>
      <c r="B11" s="4" t="s">
        <v>19</v>
      </c>
      <c r="C11" s="4">
        <v>1</v>
      </c>
      <c r="D11" s="8">
        <f>Table2[[#This Row],[SAR_wholebody (mW/kg)]]*10^3/Table2[[#This Row],[Input Power (mW)]]</f>
        <v>5.3465111126521485</v>
      </c>
      <c r="E11" s="8">
        <f>Table2[[#This Row],[SAR_head (mW/kg)]]*10^3/Table2[[#This Row],[Input Power (mW)]]</f>
        <v>0.43442610906221707</v>
      </c>
      <c r="F11" s="8">
        <f>Table2[[#This Row],[SAR_trunk (mW/kg)]]*10^3/Table2[[#This Row],[Input Power (mW)]]</f>
        <v>2.6024767818020309</v>
      </c>
      <c r="G11" s="8">
        <f>Table2[[#This Row],[psSAR10g_eyes (mW/kg)]]*10^3/Table2[[#This Row],[Input Power (mW)]]</f>
        <v>4.1832600089926011</v>
      </c>
      <c r="H11" s="8">
        <f>Table2[[#This Row],[psSAR10g_skin (mW/kg)]]*10^3/Table2[[#This Row],[Input Power (mW)]]</f>
        <v>95.025650863921044</v>
      </c>
      <c r="I11" s="8">
        <f>Table2[[#This Row],[psSAR10g_brain (mW/kg)]]*10^3/Table2[[#This Row],[Input Power (mW)]]</f>
        <v>3.6533920547522323</v>
      </c>
      <c r="J11" s="8">
        <f>Table2[[#This Row],[SAR_brain (mW/kg)]]*10^3/Table2[[#This Row],[Input Power (mW)]]</f>
        <v>0.21310243673097723</v>
      </c>
      <c r="L11" s="11"/>
    </row>
    <row r="12" spans="1:12" ht="15.75" customHeight="1" x14ac:dyDescent="0.35">
      <c r="A12" s="5">
        <v>835</v>
      </c>
      <c r="B12" s="5" t="s">
        <v>20</v>
      </c>
      <c r="C12" s="5">
        <v>1</v>
      </c>
      <c r="D12" s="9">
        <f>Table2[[#This Row],[SAR_wholebody (mW/kg)]]*10^3/Table2[[#This Row],[Input Power (mW)]]</f>
        <v>2.2229832787103381</v>
      </c>
      <c r="E12" s="9">
        <f>Table2[[#This Row],[SAR_head (mW/kg)]]*10^3/Table2[[#This Row],[Input Power (mW)]]</f>
        <v>0.262038628745839</v>
      </c>
      <c r="F12" s="9">
        <f>Table2[[#This Row],[SAR_trunk (mW/kg)]]*10^3/Table2[[#This Row],[Input Power (mW)]]</f>
        <v>1.4728543935102587</v>
      </c>
      <c r="G12" s="9">
        <f>Table2[[#This Row],[psSAR10g_eyes (mW/kg)]]*10^3/Table2[[#This Row],[Input Power (mW)]]</f>
        <v>1.4717769671361227</v>
      </c>
      <c r="H12" s="9">
        <f>Table2[[#This Row],[psSAR10g_skin (mW/kg)]]*10^3/Table2[[#This Row],[Input Power (mW)]]</f>
        <v>58.850930181054387</v>
      </c>
      <c r="I12" s="9">
        <f>Table2[[#This Row],[psSAR10g_brain (mW/kg)]]*10^3/Table2[[#This Row],[Input Power (mW)]]</f>
        <v>1.1145215370936754</v>
      </c>
      <c r="J12" s="9">
        <f>Table2[[#This Row],[SAR_brain (mW/kg)]]*10^3/Table2[[#This Row],[Input Power (mW)]]</f>
        <v>0.17902173874604943</v>
      </c>
      <c r="L12" s="11"/>
    </row>
    <row r="13" spans="1:12" ht="15.75" customHeight="1" x14ac:dyDescent="0.35">
      <c r="A13" s="4">
        <v>835</v>
      </c>
      <c r="B13" s="4" t="s">
        <v>21</v>
      </c>
      <c r="C13" s="4">
        <v>1</v>
      </c>
      <c r="D13" s="8">
        <f>Table2[[#This Row],[SAR_wholebody (mW/kg)]]*10^3/Table2[[#This Row],[Input Power (mW)]]</f>
        <v>8.3576924005717548E-2</v>
      </c>
      <c r="E13" s="8">
        <f>Table2[[#This Row],[SAR_head (mW/kg)]]*10^3/Table2[[#This Row],[Input Power (mW)]]</f>
        <v>1.3507702656608027E-2</v>
      </c>
      <c r="F13" s="8">
        <f>Table2[[#This Row],[SAR_trunk (mW/kg)]]*10^3/Table2[[#This Row],[Input Power (mW)]]</f>
        <v>6.3508642354246927E-2</v>
      </c>
      <c r="G13" s="8">
        <f>Table2[[#This Row],[psSAR10g_eyes (mW/kg)]]*10^3/Table2[[#This Row],[Input Power (mW)]]</f>
        <v>6.1468507364452626E-2</v>
      </c>
      <c r="H13" s="8">
        <f>Table2[[#This Row],[psSAR10g_skin (mW/kg)]]*10^3/Table2[[#This Row],[Input Power (mW)]]</f>
        <v>2.2321219616129384</v>
      </c>
      <c r="I13" s="8">
        <f>Table2[[#This Row],[psSAR10g_brain (mW/kg)]]*10^3/Table2[[#This Row],[Input Power (mW)]]</f>
        <v>4.6240275990767105E-2</v>
      </c>
      <c r="J13" s="8">
        <f>Table2[[#This Row],[SAR_brain (mW/kg)]]*10^3/Table2[[#This Row],[Input Power (mW)]]</f>
        <v>1.0135508645090262E-2</v>
      </c>
      <c r="L13" s="11"/>
    </row>
    <row r="14" spans="1:12" ht="15.75" customHeight="1" x14ac:dyDescent="0.35">
      <c r="A14" s="5">
        <v>835</v>
      </c>
      <c r="B14" s="5" t="s">
        <v>22</v>
      </c>
      <c r="C14" s="5">
        <v>1</v>
      </c>
      <c r="D14" s="9">
        <f>Table2[[#This Row],[SAR_wholebody (mW/kg)]]*10^3/Table2[[#This Row],[Input Power (mW)]]</f>
        <v>5.8061642406849563</v>
      </c>
      <c r="E14" s="9">
        <f>Table2[[#This Row],[SAR_head (mW/kg)]]*10^3/Table2[[#This Row],[Input Power (mW)]]</f>
        <v>0.92700590884114042</v>
      </c>
      <c r="F14" s="9">
        <f>Table2[[#This Row],[SAR_trunk (mW/kg)]]*10^3/Table2[[#This Row],[Input Power (mW)]]</f>
        <v>5.4026497994442106</v>
      </c>
      <c r="G14" s="9">
        <f>Table2[[#This Row],[psSAR10g_eyes (mW/kg)]]*10^3/Table2[[#This Row],[Input Power (mW)]]</f>
        <v>7.2254220599531145</v>
      </c>
      <c r="H14" s="9">
        <f>Table2[[#This Row],[psSAR10g_skin (mW/kg)]]*10^3/Table2[[#This Row],[Input Power (mW)]]</f>
        <v>73.030543689852635</v>
      </c>
      <c r="I14" s="9">
        <f>Table2[[#This Row],[psSAR10g_brain (mW/kg)]]*10^3/Table2[[#This Row],[Input Power (mW)]]</f>
        <v>5.7790320311760528</v>
      </c>
      <c r="J14" s="9">
        <f>Table2[[#This Row],[SAR_brain (mW/kg)]]*10^3/Table2[[#This Row],[Input Power (mW)]]</f>
        <v>0.72046330013421045</v>
      </c>
      <c r="L14" s="11"/>
    </row>
    <row r="15" spans="1:12" ht="15.75" customHeight="1" x14ac:dyDescent="0.35">
      <c r="A15" s="4">
        <v>835</v>
      </c>
      <c r="B15" s="4" t="s">
        <v>23</v>
      </c>
      <c r="C15" s="4">
        <v>1</v>
      </c>
      <c r="D15" s="8">
        <f>Table2[[#This Row],[SAR_wholebody (mW/kg)]]*10^3/Table2[[#This Row],[Input Power (mW)]]</f>
        <v>4.0242926128365699</v>
      </c>
      <c r="E15" s="8">
        <f>Table2[[#This Row],[SAR_head (mW/kg)]]*10^3/Table2[[#This Row],[Input Power (mW)]]</f>
        <v>0.52142232034206137</v>
      </c>
      <c r="F15" s="8">
        <f>Table2[[#This Row],[SAR_trunk (mW/kg)]]*10^3/Table2[[#This Row],[Input Power (mW)]]</f>
        <v>1.9119483523055572</v>
      </c>
      <c r="G15" s="8">
        <f>Table2[[#This Row],[psSAR10g_eyes (mW/kg)]]*10^3/Table2[[#This Row],[Input Power (mW)]]</f>
        <v>3.0785367717212937</v>
      </c>
      <c r="H15" s="8">
        <f>Table2[[#This Row],[psSAR10g_skin (mW/kg)]]*10^3/Table2[[#This Row],[Input Power (mW)]]</f>
        <v>104.98384272574781</v>
      </c>
      <c r="I15" s="8">
        <f>Table2[[#This Row],[psSAR10g_brain (mW/kg)]]*10^3/Table2[[#This Row],[Input Power (mW)]]</f>
        <v>2.0336710905351842</v>
      </c>
      <c r="J15" s="8">
        <f>Table2[[#This Row],[SAR_brain (mW/kg)]]*10^3/Table2[[#This Row],[Input Power (mW)]]</f>
        <v>0.36022235516703116</v>
      </c>
      <c r="L15" s="11"/>
    </row>
    <row r="16" spans="1:12" ht="15.75" customHeight="1" x14ac:dyDescent="0.35">
      <c r="A16" s="5">
        <v>835</v>
      </c>
      <c r="B16" s="5" t="s">
        <v>24</v>
      </c>
      <c r="C16" s="5">
        <v>1</v>
      </c>
      <c r="D16" s="9">
        <f>Table2[[#This Row],[SAR_wholebody (mW/kg)]]*10^3/Table2[[#This Row],[Input Power (mW)]]</f>
        <v>5.6579761732747809</v>
      </c>
      <c r="E16" s="9">
        <f>Table2[[#This Row],[SAR_head (mW/kg)]]*10^3/Table2[[#This Row],[Input Power (mW)]]</f>
        <v>1.5613145338161405</v>
      </c>
      <c r="F16" s="9">
        <f>Table2[[#This Row],[SAR_trunk (mW/kg)]]*10^3/Table2[[#This Row],[Input Power (mW)]]</f>
        <v>7.2333690159598678</v>
      </c>
      <c r="G16" s="9">
        <f>Table2[[#This Row],[psSAR10g_eyes (mW/kg)]]*10^3/Table2[[#This Row],[Input Power (mW)]]</f>
        <v>8.9645108717799111</v>
      </c>
      <c r="H16" s="9">
        <f>Table2[[#This Row],[psSAR10g_skin (mW/kg)]]*10^3/Table2[[#This Row],[Input Power (mW)]]</f>
        <v>56.023104444720616</v>
      </c>
      <c r="I16" s="9">
        <f>Table2[[#This Row],[psSAR10g_brain (mW/kg)]]*10^3/Table2[[#This Row],[Input Power (mW)]]</f>
        <v>8.0592096505160526</v>
      </c>
      <c r="J16" s="9">
        <f>Table2[[#This Row],[SAR_brain (mW/kg)]]*10^3/Table2[[#This Row],[Input Power (mW)]]</f>
        <v>1.2991160774543857</v>
      </c>
      <c r="L16" s="11"/>
    </row>
    <row r="17" spans="1:12" ht="15.75" customHeight="1" thickBot="1" x14ac:dyDescent="0.4">
      <c r="A17" s="6">
        <v>835</v>
      </c>
      <c r="B17" s="6" t="s">
        <v>25</v>
      </c>
      <c r="C17" s="6">
        <v>1</v>
      </c>
      <c r="D17" s="10">
        <f>Table2[[#This Row],[SAR_wholebody (mW/kg)]]*10^3/Table2[[#This Row],[Input Power (mW)]]</f>
        <v>5.3960370972086835</v>
      </c>
      <c r="E17" s="10">
        <f>Table2[[#This Row],[SAR_head (mW/kg)]]*10^3/Table2[[#This Row],[Input Power (mW)]]</f>
        <v>1.0939343110931008</v>
      </c>
      <c r="F17" s="10">
        <f>Table2[[#This Row],[SAR_trunk (mW/kg)]]*10^3/Table2[[#This Row],[Input Power (mW)]]</f>
        <v>4.9705681233792545</v>
      </c>
      <c r="G17" s="10">
        <f>Table2[[#This Row],[psSAR10g_eyes (mW/kg)]]*10^3/Table2[[#This Row],[Input Power (mW)]]</f>
        <v>8.7662574618613593</v>
      </c>
      <c r="H17" s="10">
        <f>Table2[[#This Row],[psSAR10g_skin (mW/kg)]]*10^3/Table2[[#This Row],[Input Power (mW)]]</f>
        <v>58.734889288708331</v>
      </c>
      <c r="I17" s="10">
        <f>Table2[[#This Row],[psSAR10g_brain (mW/kg)]]*10^3/Table2[[#This Row],[Input Power (mW)]]</f>
        <v>6.9754935176490349</v>
      </c>
      <c r="J17" s="10">
        <f>Table2[[#This Row],[SAR_brain (mW/kg)]]*10^3/Table2[[#This Row],[Input Power (mW)]]</f>
        <v>0.63605835869649108</v>
      </c>
      <c r="L17" s="11"/>
    </row>
    <row r="18" spans="1:12" ht="15.75" customHeight="1" x14ac:dyDescent="0.35">
      <c r="A18" s="3">
        <v>1450</v>
      </c>
      <c r="B18" s="3" t="s">
        <v>18</v>
      </c>
      <c r="C18" s="3">
        <v>1</v>
      </c>
      <c r="D18" s="7">
        <f>Table2[[#This Row],[SAR_wholebody (mW/kg)]]*10^3/Table2[[#This Row],[Input Power (mW)]]</f>
        <v>3.5908434460655374</v>
      </c>
      <c r="E18" s="7">
        <f>Table2[[#This Row],[SAR_head (mW/kg)]]*10^3/Table2[[#This Row],[Input Power (mW)]]</f>
        <v>0.84319038626106135</v>
      </c>
      <c r="F18" s="7">
        <f>Table2[[#This Row],[SAR_trunk (mW/kg)]]*10^3/Table2[[#This Row],[Input Power (mW)]]</f>
        <v>4.5748654606586125</v>
      </c>
      <c r="G18" s="7">
        <f>Table2[[#This Row],[psSAR10g_eyes (mW/kg)]]*10^3/Table2[[#This Row],[Input Power (mW)]]</f>
        <v>5.1494646445370575</v>
      </c>
      <c r="H18" s="7">
        <f>Table2[[#This Row],[psSAR10g_skin (mW/kg)]]*10^3/Table2[[#This Row],[Input Power (mW)]]</f>
        <v>43.827995720422834</v>
      </c>
      <c r="I18" s="7">
        <f>Table2[[#This Row],[psSAR10g_brain (mW/kg)]]*10^3/Table2[[#This Row],[Input Power (mW)]]</f>
        <v>4.7574781719694998</v>
      </c>
      <c r="J18" s="7">
        <f>Table2[[#This Row],[SAR_brain (mW/kg)]]*10^3/Table2[[#This Row],[Input Power (mW)]]</f>
        <v>0.67540937897528364</v>
      </c>
      <c r="L18" s="11"/>
    </row>
    <row r="19" spans="1:12" ht="15.75" customHeight="1" x14ac:dyDescent="0.35">
      <c r="A19" s="4">
        <v>1450</v>
      </c>
      <c r="B19" s="4" t="s">
        <v>19</v>
      </c>
      <c r="C19" s="4">
        <v>1</v>
      </c>
      <c r="D19" s="8">
        <f>Table2[[#This Row],[SAR_wholebody (mW/kg)]]*10^3/Table2[[#This Row],[Input Power (mW)]]</f>
        <v>4.4983323506141417</v>
      </c>
      <c r="E19" s="8">
        <f>Table2[[#This Row],[SAR_head (mW/kg)]]*10^3/Table2[[#This Row],[Input Power (mW)]]</f>
        <v>1.032462993296632</v>
      </c>
      <c r="F19" s="8">
        <f>Table2[[#This Row],[SAR_trunk (mW/kg)]]*10^3/Table2[[#This Row],[Input Power (mW)]]</f>
        <v>5.4049989539441796</v>
      </c>
      <c r="G19" s="8">
        <f>Table2[[#This Row],[psSAR10g_eyes (mW/kg)]]*10^3/Table2[[#This Row],[Input Power (mW)]]</f>
        <v>7.4450680498199056</v>
      </c>
      <c r="H19" s="8">
        <f>Table2[[#This Row],[psSAR10g_skin (mW/kg)]]*10^3/Table2[[#This Row],[Input Power (mW)]]</f>
        <v>49.120019825251688</v>
      </c>
      <c r="I19" s="8">
        <f>Table2[[#This Row],[psSAR10g_brain (mW/kg)]]*10^3/Table2[[#This Row],[Input Power (mW)]]</f>
        <v>6.6622502850278771</v>
      </c>
      <c r="J19" s="8">
        <f>Table2[[#This Row],[SAR_brain (mW/kg)]]*10^3/Table2[[#This Row],[Input Power (mW)]]</f>
        <v>0.7322568476485819</v>
      </c>
      <c r="L19" s="11"/>
    </row>
    <row r="20" spans="1:12" ht="15.75" customHeight="1" x14ac:dyDescent="0.35">
      <c r="A20" s="5">
        <v>1450</v>
      </c>
      <c r="B20" s="5" t="s">
        <v>20</v>
      </c>
      <c r="C20" s="5">
        <v>1</v>
      </c>
      <c r="D20" s="9">
        <f>Table2[[#This Row],[SAR_wholebody (mW/kg)]]*10^3/Table2[[#This Row],[Input Power (mW)]]</f>
        <v>2.804469209276887</v>
      </c>
      <c r="E20" s="9">
        <f>Table2[[#This Row],[SAR_head (mW/kg)]]*10^3/Table2[[#This Row],[Input Power (mW)]]</f>
        <v>0.89554082503058308</v>
      </c>
      <c r="F20" s="9">
        <f>Table2[[#This Row],[SAR_trunk (mW/kg)]]*10^3/Table2[[#This Row],[Input Power (mW)]]</f>
        <v>3.3743162374001416</v>
      </c>
      <c r="G20" s="9">
        <f>Table2[[#This Row],[psSAR10g_eyes (mW/kg)]]*10^3/Table2[[#This Row],[Input Power (mW)]]</f>
        <v>6.2304312426111981</v>
      </c>
      <c r="H20" s="9">
        <f>Table2[[#This Row],[psSAR10g_skin (mW/kg)]]*10^3/Table2[[#This Row],[Input Power (mW)]]</f>
        <v>56.292479095586224</v>
      </c>
      <c r="I20" s="9">
        <f>Table2[[#This Row],[psSAR10g_brain (mW/kg)]]*10^3/Table2[[#This Row],[Input Power (mW)]]</f>
        <v>5.1551728510822912</v>
      </c>
      <c r="J20" s="9">
        <f>Table2[[#This Row],[SAR_brain (mW/kg)]]*10^3/Table2[[#This Row],[Input Power (mW)]]</f>
        <v>0.74074585251185088</v>
      </c>
      <c r="L20" s="11"/>
    </row>
    <row r="21" spans="1:12" ht="15.75" customHeight="1" x14ac:dyDescent="0.35">
      <c r="A21" s="4">
        <v>1450</v>
      </c>
      <c r="B21" s="4" t="s">
        <v>21</v>
      </c>
      <c r="C21" s="4">
        <v>1</v>
      </c>
      <c r="D21" s="8">
        <f>Table2[[#This Row],[SAR_wholebody (mW/kg)]]*10^3/Table2[[#This Row],[Input Power (mW)]]</f>
        <v>2.5403036125573868</v>
      </c>
      <c r="E21" s="8">
        <f>Table2[[#This Row],[SAR_head (mW/kg)]]*10^3/Table2[[#This Row],[Input Power (mW)]]</f>
        <v>0.87763137769654898</v>
      </c>
      <c r="F21" s="8">
        <f>Table2[[#This Row],[SAR_trunk (mW/kg)]]*10^3/Table2[[#This Row],[Input Power (mW)]]</f>
        <v>3.3664563244312644</v>
      </c>
      <c r="G21" s="8">
        <f>Table2[[#This Row],[psSAR10g_eyes (mW/kg)]]*10^3/Table2[[#This Row],[Input Power (mW)]]</f>
        <v>5.3313057765488496</v>
      </c>
      <c r="H21" s="8">
        <f>Table2[[#This Row],[psSAR10g_skin (mW/kg)]]*10^3/Table2[[#This Row],[Input Power (mW)]]</f>
        <v>43.464979093132072</v>
      </c>
      <c r="I21" s="8">
        <f>Table2[[#This Row],[psSAR10g_brain (mW/kg)]]*10^3/Table2[[#This Row],[Input Power (mW)]]</f>
        <v>4.3137639230974907</v>
      </c>
      <c r="J21" s="8">
        <f>Table2[[#This Row],[SAR_brain (mW/kg)]]*10^3/Table2[[#This Row],[Input Power (mW)]]</f>
        <v>0.72650707764101241</v>
      </c>
      <c r="L21" s="11"/>
    </row>
    <row r="22" spans="1:12" ht="15.75" customHeight="1" x14ac:dyDescent="0.35">
      <c r="A22" s="5">
        <v>1450</v>
      </c>
      <c r="B22" s="5" t="s">
        <v>22</v>
      </c>
      <c r="C22" s="5">
        <v>1</v>
      </c>
      <c r="D22" s="9">
        <f>Table2[[#This Row],[SAR_wholebody (mW/kg)]]*10^3/Table2[[#This Row],[Input Power (mW)]]</f>
        <v>3.508062655559038</v>
      </c>
      <c r="E22" s="9">
        <f>Table2[[#This Row],[SAR_head (mW/kg)]]*10^3/Table2[[#This Row],[Input Power (mW)]]</f>
        <v>1.4094708328558114</v>
      </c>
      <c r="F22" s="9">
        <f>Table2[[#This Row],[SAR_trunk (mW/kg)]]*10^3/Table2[[#This Row],[Input Power (mW)]]</f>
        <v>4.9255220464038487</v>
      </c>
      <c r="G22" s="9">
        <f>Table2[[#This Row],[psSAR10g_eyes (mW/kg)]]*10^3/Table2[[#This Row],[Input Power (mW)]]</f>
        <v>8.777065930903527</v>
      </c>
      <c r="H22" s="9">
        <f>Table2[[#This Row],[psSAR10g_skin (mW/kg)]]*10^3/Table2[[#This Row],[Input Power (mW)]]</f>
        <v>40.405078300515854</v>
      </c>
      <c r="I22" s="9">
        <f>Table2[[#This Row],[psSAR10g_brain (mW/kg)]]*10^3/Table2[[#This Row],[Input Power (mW)]]</f>
        <v>7.2967797693107173</v>
      </c>
      <c r="J22" s="9">
        <f>Table2[[#This Row],[SAR_brain (mW/kg)]]*10^3/Table2[[#This Row],[Input Power (mW)]]</f>
        <v>1.1106230615122641</v>
      </c>
      <c r="L22" s="11"/>
    </row>
    <row r="23" spans="1:12" ht="15.75" customHeight="1" x14ac:dyDescent="0.35">
      <c r="A23" s="4">
        <v>1450</v>
      </c>
      <c r="B23" s="4" t="s">
        <v>23</v>
      </c>
      <c r="C23" s="4">
        <v>1</v>
      </c>
      <c r="D23" s="8">
        <f>Table2[[#This Row],[SAR_wholebody (mW/kg)]]*10^3/Table2[[#This Row],[Input Power (mW)]]</f>
        <v>4.3672784490926135</v>
      </c>
      <c r="E23" s="8">
        <f>Table2[[#This Row],[SAR_head (mW/kg)]]*10^3/Table2[[#This Row],[Input Power (mW)]]</f>
        <v>1.4121232902735945</v>
      </c>
      <c r="F23" s="8">
        <f>Table2[[#This Row],[SAR_trunk (mW/kg)]]*10^3/Table2[[#This Row],[Input Power (mW)]]</f>
        <v>5.3559381310374716</v>
      </c>
      <c r="G23" s="8">
        <f>Table2[[#This Row],[psSAR10g_eyes (mW/kg)]]*10^3/Table2[[#This Row],[Input Power (mW)]]</f>
        <v>10.50978885140198</v>
      </c>
      <c r="H23" s="8">
        <f>Table2[[#This Row],[psSAR10g_skin (mW/kg)]]*10^3/Table2[[#This Row],[Input Power (mW)]]</f>
        <v>113.67443646005661</v>
      </c>
      <c r="I23" s="8">
        <f>Table2[[#This Row],[psSAR10g_brain (mW/kg)]]*10^3/Table2[[#This Row],[Input Power (mW)]]</f>
        <v>7.4086120103537256</v>
      </c>
      <c r="J23" s="8">
        <f>Table2[[#This Row],[SAR_brain (mW/kg)]]*10^3/Table2[[#This Row],[Input Power (mW)]]</f>
        <v>1.014125980309434</v>
      </c>
      <c r="L23" s="11"/>
    </row>
    <row r="24" spans="1:12" ht="15.75" customHeight="1" x14ac:dyDescent="0.35">
      <c r="A24" s="5">
        <v>1450</v>
      </c>
      <c r="B24" s="5" t="s">
        <v>24</v>
      </c>
      <c r="C24" s="5">
        <v>1</v>
      </c>
      <c r="D24" s="9">
        <f>Table2[[#This Row],[SAR_wholebody (mW/kg)]]*10^3/Table2[[#This Row],[Input Power (mW)]]</f>
        <v>3.2172664762061509</v>
      </c>
      <c r="E24" s="9">
        <f>Table2[[#This Row],[SAR_head (mW/kg)]]*10^3/Table2[[#This Row],[Input Power (mW)]]</f>
        <v>1.4669507107295376</v>
      </c>
      <c r="F24" s="9">
        <f>Table2[[#This Row],[SAR_trunk (mW/kg)]]*10^3/Table2[[#This Row],[Input Power (mW)]]</f>
        <v>4.4618771696627553</v>
      </c>
      <c r="G24" s="9">
        <f>Table2[[#This Row],[psSAR10g_eyes (mW/kg)]]*10^3/Table2[[#This Row],[Input Power (mW)]]</f>
        <v>8.5334313794918675</v>
      </c>
      <c r="H24" s="9">
        <f>Table2[[#This Row],[psSAR10g_skin (mW/kg)]]*10^3/Table2[[#This Row],[Input Power (mW)]]</f>
        <v>32.825795958289532</v>
      </c>
      <c r="I24" s="9">
        <f>Table2[[#This Row],[psSAR10g_brain (mW/kg)]]*10^3/Table2[[#This Row],[Input Power (mW)]]</f>
        <v>7.9183605927914815</v>
      </c>
      <c r="J24" s="9">
        <f>Table2[[#This Row],[SAR_brain (mW/kg)]]*10^3/Table2[[#This Row],[Input Power (mW)]]</f>
        <v>1.2435193673103775</v>
      </c>
      <c r="L24" s="11"/>
    </row>
    <row r="25" spans="1:12" ht="15.75" customHeight="1" thickBot="1" x14ac:dyDescent="0.4">
      <c r="A25" s="6">
        <v>1450</v>
      </c>
      <c r="B25" s="6" t="s">
        <v>25</v>
      </c>
      <c r="C25" s="6">
        <v>1</v>
      </c>
      <c r="D25" s="10">
        <f>Table2[[#This Row],[SAR_wholebody (mW/kg)]]*10^3/Table2[[#This Row],[Input Power (mW)]]</f>
        <v>4.3435339499318681</v>
      </c>
      <c r="E25" s="10">
        <f>Table2[[#This Row],[SAR_head (mW/kg)]]*10^3/Table2[[#This Row],[Input Power (mW)]]</f>
        <v>2.2629360441676791</v>
      </c>
      <c r="F25" s="10">
        <f>Table2[[#This Row],[SAR_trunk (mW/kg)]]*10^3/Table2[[#This Row],[Input Power (mW)]]</f>
        <v>6.0910704091363588</v>
      </c>
      <c r="G25" s="10">
        <f>Table2[[#This Row],[psSAR10g_eyes (mW/kg)]]*10^3/Table2[[#This Row],[Input Power (mW)]]</f>
        <v>14.774057665260848</v>
      </c>
      <c r="H25" s="10">
        <f>Table2[[#This Row],[psSAR10g_skin (mW/kg)]]*10^3/Table2[[#This Row],[Input Power (mW)]]</f>
        <v>45.899720869221973</v>
      </c>
      <c r="I25" s="10">
        <f>Table2[[#This Row],[psSAR10g_brain (mW/kg)]]*10^3/Table2[[#This Row],[Input Power (mW)]]</f>
        <v>13.242097797198396</v>
      </c>
      <c r="J25" s="10">
        <f>Table2[[#This Row],[SAR_brain (mW/kg)]]*10^3/Table2[[#This Row],[Input Power (mW)]]</f>
        <v>1.6146164116009436</v>
      </c>
      <c r="L25" s="11"/>
    </row>
    <row r="26" spans="1:12" ht="15.75" customHeight="1" x14ac:dyDescent="0.35">
      <c r="A26" s="3">
        <v>2140</v>
      </c>
      <c r="B26" s="3" t="s">
        <v>18</v>
      </c>
      <c r="C26" s="3">
        <v>1</v>
      </c>
      <c r="D26" s="7">
        <f>Table2[[#This Row],[SAR_wholebody (mW/kg)]]*10^3/Table2[[#This Row],[Input Power (mW)]]</f>
        <v>5.6215098413789999</v>
      </c>
      <c r="E26" s="7">
        <f>Table2[[#This Row],[SAR_head (mW/kg)]]*10^3/Table2[[#This Row],[Input Power (mW)]]</f>
        <v>1.4285736116501795</v>
      </c>
      <c r="F26" s="7">
        <f>Table2[[#This Row],[SAR_trunk (mW/kg)]]*10^3/Table2[[#This Row],[Input Power (mW)]]</f>
        <v>6.2725555301046407</v>
      </c>
      <c r="G26" s="7">
        <f>Table2[[#This Row],[psSAR10g_eyes (mW/kg)]]*10^3/Table2[[#This Row],[Input Power (mW)]]</f>
        <v>5.3542783610234617</v>
      </c>
      <c r="H26" s="7">
        <f>Table2[[#This Row],[psSAR10g_skin (mW/kg)]]*10^3/Table2[[#This Row],[Input Power (mW)]]</f>
        <v>108.47180044619385</v>
      </c>
      <c r="I26" s="7">
        <f>Table2[[#This Row],[psSAR10g_brain (mW/kg)]]*10^3/Table2[[#This Row],[Input Power (mW)]]</f>
        <v>6.0871924133690891</v>
      </c>
      <c r="J26" s="7">
        <f>Table2[[#This Row],[SAR_brain (mW/kg)]]*10^3/Table2[[#This Row],[Input Power (mW)]]</f>
        <v>0.60239688849118367</v>
      </c>
      <c r="L26" s="11"/>
    </row>
    <row r="27" spans="1:12" ht="15.75" customHeight="1" x14ac:dyDescent="0.35">
      <c r="A27" s="4">
        <v>2140</v>
      </c>
      <c r="B27" s="4" t="s">
        <v>19</v>
      </c>
      <c r="C27" s="4">
        <v>1</v>
      </c>
      <c r="D27" s="8">
        <f>Table2[[#This Row],[SAR_wholebody (mW/kg)]]*10^3/Table2[[#This Row],[Input Power (mW)]]</f>
        <v>6.7685549951100636</v>
      </c>
      <c r="E27" s="8">
        <f>Table2[[#This Row],[SAR_head (mW/kg)]]*10^3/Table2[[#This Row],[Input Power (mW)]]</f>
        <v>1.8783346337097948</v>
      </c>
      <c r="F27" s="8">
        <f>Table2[[#This Row],[SAR_trunk (mW/kg)]]*10^3/Table2[[#This Row],[Input Power (mW)]]</f>
        <v>6.9565973977400901</v>
      </c>
      <c r="G27" s="8">
        <f>Table2[[#This Row],[psSAR10g_eyes (mW/kg)]]*10^3/Table2[[#This Row],[Input Power (mW)]]</f>
        <v>9.7612530941575137</v>
      </c>
      <c r="H27" s="8">
        <f>Table2[[#This Row],[psSAR10g_skin (mW/kg)]]*10^3/Table2[[#This Row],[Input Power (mW)]]</f>
        <v>95.412767127324358</v>
      </c>
      <c r="I27" s="8">
        <f>Table2[[#This Row],[psSAR10g_brain (mW/kg)]]*10^3/Table2[[#This Row],[Input Power (mW)]]</f>
        <v>9.745608246282</v>
      </c>
      <c r="J27" s="8">
        <f>Table2[[#This Row],[SAR_brain (mW/kg)]]*10^3/Table2[[#This Row],[Input Power (mW)]]</f>
        <v>1.2060694102067886</v>
      </c>
      <c r="L27" s="11"/>
    </row>
    <row r="28" spans="1:12" ht="15.75" customHeight="1" x14ac:dyDescent="0.35">
      <c r="A28" s="5">
        <v>2140</v>
      </c>
      <c r="B28" s="5" t="s">
        <v>20</v>
      </c>
      <c r="C28" s="5">
        <v>1</v>
      </c>
      <c r="D28" s="9">
        <f>Table2[[#This Row],[SAR_wholebody (mW/kg)]]*10^3/Table2[[#This Row],[Input Power (mW)]]</f>
        <v>3.9227772992947942</v>
      </c>
      <c r="E28" s="9">
        <f>Table2[[#This Row],[SAR_head (mW/kg)]]*10^3/Table2[[#This Row],[Input Power (mW)]]</f>
        <v>0.91339198288237555</v>
      </c>
      <c r="F28" s="9">
        <f>Table2[[#This Row],[SAR_trunk (mW/kg)]]*10^3/Table2[[#This Row],[Input Power (mW)]]</f>
        <v>3.9886567656529612</v>
      </c>
      <c r="G28" s="9">
        <f>Table2[[#This Row],[psSAR10g_eyes (mW/kg)]]*10^3/Table2[[#This Row],[Input Power (mW)]]</f>
        <v>4.5781475528249871</v>
      </c>
      <c r="H28" s="9">
        <f>Table2[[#This Row],[psSAR10g_skin (mW/kg)]]*10^3/Table2[[#This Row],[Input Power (mW)]]</f>
        <v>74.613482752148713</v>
      </c>
      <c r="I28" s="9">
        <f>Table2[[#This Row],[psSAR10g_brain (mW/kg)]]*10^3/Table2[[#This Row],[Input Power (mW)]]</f>
        <v>3.9370552987229233</v>
      </c>
      <c r="J28" s="9">
        <f>Table2[[#This Row],[SAR_brain (mW/kg)]]*10^3/Table2[[#This Row],[Input Power (mW)]]</f>
        <v>0.49073774088908262</v>
      </c>
      <c r="L28" s="11"/>
    </row>
    <row r="29" spans="1:12" ht="15.75" customHeight="1" x14ac:dyDescent="0.35">
      <c r="A29" s="4">
        <v>2140</v>
      </c>
      <c r="B29" s="4" t="s">
        <v>21</v>
      </c>
      <c r="C29" s="4">
        <v>1</v>
      </c>
      <c r="D29" s="8">
        <f>Table2[[#This Row],[SAR_wholebody (mW/kg)]]*10^3/Table2[[#This Row],[Input Power (mW)]]</f>
        <v>2.8535833712580003</v>
      </c>
      <c r="E29" s="8">
        <f>Table2[[#This Row],[SAR_head (mW/kg)]]*10^3/Table2[[#This Row],[Input Power (mW)]]</f>
        <v>0.86122683536719735</v>
      </c>
      <c r="F29" s="8">
        <f>Table2[[#This Row],[SAR_trunk (mW/kg)]]*10^3/Table2[[#This Row],[Input Power (mW)]]</f>
        <v>2.8456307001472307</v>
      </c>
      <c r="G29" s="8">
        <f>Table2[[#This Row],[psSAR10g_eyes (mW/kg)]]*10^3/Table2[[#This Row],[Input Power (mW)]]</f>
        <v>5.9464794130286664</v>
      </c>
      <c r="H29" s="8">
        <f>Table2[[#This Row],[psSAR10g_skin (mW/kg)]]*10^3/Table2[[#This Row],[Input Power (mW)]]</f>
        <v>40.199901868447945</v>
      </c>
      <c r="I29" s="8">
        <f>Table2[[#This Row],[psSAR10g_brain (mW/kg)]]*10^3/Table2[[#This Row],[Input Power (mW)]]</f>
        <v>5.6093967159800764</v>
      </c>
      <c r="J29" s="8">
        <f>Table2[[#This Row],[SAR_brain (mW/kg)]]*10^3/Table2[[#This Row],[Input Power (mW)]]</f>
        <v>0.66775688074547934</v>
      </c>
      <c r="L29" s="11"/>
    </row>
    <row r="30" spans="1:12" ht="15.75" customHeight="1" x14ac:dyDescent="0.35">
      <c r="A30" s="5">
        <v>2140</v>
      </c>
      <c r="B30" s="5" t="s">
        <v>22</v>
      </c>
      <c r="C30" s="5">
        <v>1</v>
      </c>
      <c r="D30" s="9">
        <f>Table2[[#This Row],[SAR_wholebody (mW/kg)]]*10^3/Table2[[#This Row],[Input Power (mW)]]</f>
        <v>4.7174366867542821</v>
      </c>
      <c r="E30" s="9">
        <f>Table2[[#This Row],[SAR_head (mW/kg)]]*10^3/Table2[[#This Row],[Input Power (mW)]]</f>
        <v>1.1173969661715437</v>
      </c>
      <c r="F30" s="9">
        <f>Table2[[#This Row],[SAR_trunk (mW/kg)]]*10^3/Table2[[#This Row],[Input Power (mW)]]</f>
        <v>5.3681722215117436</v>
      </c>
      <c r="G30" s="9">
        <f>Table2[[#This Row],[psSAR10g_eyes (mW/kg)]]*10^3/Table2[[#This Row],[Input Power (mW)]]</f>
        <v>3.8163952301549999</v>
      </c>
      <c r="H30" s="9">
        <f>Table2[[#This Row],[psSAR10g_skin (mW/kg)]]*10^3/Table2[[#This Row],[Input Power (mW)]]</f>
        <v>69.384331011015121</v>
      </c>
      <c r="I30" s="9">
        <f>Table2[[#This Row],[psSAR10g_brain (mW/kg)]]*10^3/Table2[[#This Row],[Input Power (mW)]]</f>
        <v>4.3059151029556286</v>
      </c>
      <c r="J30" s="9">
        <f>Table2[[#This Row],[SAR_brain (mW/kg)]]*10^3/Table2[[#This Row],[Input Power (mW)]]</f>
        <v>0.65924668337807046</v>
      </c>
      <c r="L30" s="11"/>
    </row>
    <row r="31" spans="1:12" ht="15.75" customHeight="1" x14ac:dyDescent="0.35">
      <c r="A31" s="4">
        <v>2140</v>
      </c>
      <c r="B31" s="4" t="s">
        <v>23</v>
      </c>
      <c r="C31" s="4">
        <v>1</v>
      </c>
      <c r="D31" s="8">
        <f>Table2[[#This Row],[SAR_wholebody (mW/kg)]]*10^3/Table2[[#This Row],[Input Power (mW)]]</f>
        <v>5.4752209971169492</v>
      </c>
      <c r="E31" s="8">
        <f>Table2[[#This Row],[SAR_head (mW/kg)]]*10^3/Table2[[#This Row],[Input Power (mW)]]</f>
        <v>2.1549842491767435</v>
      </c>
      <c r="F31" s="8">
        <f>Table2[[#This Row],[SAR_trunk (mW/kg)]]*10^3/Table2[[#This Row],[Input Power (mW)]]</f>
        <v>5.5929787049928334</v>
      </c>
      <c r="G31" s="8">
        <f>Table2[[#This Row],[psSAR10g_eyes (mW/kg)]]*10^3/Table2[[#This Row],[Input Power (mW)]]</f>
        <v>11.697001793228679</v>
      </c>
      <c r="H31" s="8">
        <f>Table2[[#This Row],[psSAR10g_skin (mW/kg)]]*10^3/Table2[[#This Row],[Input Power (mW)]]</f>
        <v>163.32192626794486</v>
      </c>
      <c r="I31" s="8">
        <f>Table2[[#This Row],[psSAR10g_brain (mW/kg)]]*10^3/Table2[[#This Row],[Input Power (mW)]]</f>
        <v>12.205170364720679</v>
      </c>
      <c r="J31" s="8">
        <f>Table2[[#This Row],[SAR_brain (mW/kg)]]*10^3/Table2[[#This Row],[Input Power (mW)]]</f>
        <v>1.486609794651282</v>
      </c>
      <c r="L31" s="11"/>
    </row>
    <row r="32" spans="1:12" ht="15.75" customHeight="1" x14ac:dyDescent="0.35">
      <c r="A32" s="5">
        <v>2140</v>
      </c>
      <c r="B32" s="5" t="s">
        <v>24</v>
      </c>
      <c r="C32" s="5">
        <v>1</v>
      </c>
      <c r="D32" s="9">
        <f>Table2[[#This Row],[SAR_wholebody (mW/kg)]]*10^3/Table2[[#This Row],[Input Power (mW)]]</f>
        <v>5.2447103139100255</v>
      </c>
      <c r="E32" s="9">
        <f>Table2[[#This Row],[SAR_head (mW/kg)]]*10^3/Table2[[#This Row],[Input Power (mW)]]</f>
        <v>1.4039549104593205</v>
      </c>
      <c r="F32" s="9">
        <f>Table2[[#This Row],[SAR_trunk (mW/kg)]]*10^3/Table2[[#This Row],[Input Power (mW)]]</f>
        <v>6.1112985657463073</v>
      </c>
      <c r="G32" s="9">
        <f>Table2[[#This Row],[psSAR10g_eyes (mW/kg)]]*10^3/Table2[[#This Row],[Input Power (mW)]]</f>
        <v>9.433875130393103</v>
      </c>
      <c r="H32" s="9">
        <f>Table2[[#This Row],[psSAR10g_skin (mW/kg)]]*10^3/Table2[[#This Row],[Input Power (mW)]]</f>
        <v>73.596987801783712</v>
      </c>
      <c r="I32" s="9">
        <f>Table2[[#This Row],[psSAR10g_brain (mW/kg)]]*10^3/Table2[[#This Row],[Input Power (mW)]]</f>
        <v>9.4705268997453196</v>
      </c>
      <c r="J32" s="9">
        <f>Table2[[#This Row],[SAR_brain (mW/kg)]]*10^3/Table2[[#This Row],[Input Power (mW)]]</f>
        <v>1.0080853117761117</v>
      </c>
      <c r="L32" s="11"/>
    </row>
    <row r="33" spans="1:12" ht="15.75" customHeight="1" thickBot="1" x14ac:dyDescent="0.4">
      <c r="A33" s="6">
        <v>2140</v>
      </c>
      <c r="B33" s="6" t="s">
        <v>25</v>
      </c>
      <c r="C33" s="6">
        <v>1</v>
      </c>
      <c r="D33" s="10">
        <f>Table2[[#This Row],[SAR_wholebody (mW/kg)]]*10^3/Table2[[#This Row],[Input Power (mW)]]</f>
        <v>6.3940464674684225</v>
      </c>
      <c r="E33" s="10">
        <f>Table2[[#This Row],[SAR_head (mW/kg)]]*10^3/Table2[[#This Row],[Input Power (mW)]]</f>
        <v>3.1441274540123718</v>
      </c>
      <c r="F33" s="10">
        <f>Table2[[#This Row],[SAR_trunk (mW/kg)]]*10^3/Table2[[#This Row],[Input Power (mW)]]</f>
        <v>7.8991690470885265</v>
      </c>
      <c r="G33" s="10">
        <f>Table2[[#This Row],[psSAR10g_eyes (mW/kg)]]*10^3/Table2[[#This Row],[Input Power (mW)]]</f>
        <v>16.564723587919744</v>
      </c>
      <c r="H33" s="10">
        <f>Table2[[#This Row],[psSAR10g_skin (mW/kg)]]*10^3/Table2[[#This Row],[Input Power (mW)]]</f>
        <v>69.616754764756664</v>
      </c>
      <c r="I33" s="10">
        <f>Table2[[#This Row],[psSAR10g_brain (mW/kg)]]*10^3/Table2[[#This Row],[Input Power (mW)]]</f>
        <v>16.981496314377306</v>
      </c>
      <c r="J33" s="10">
        <f>Table2[[#This Row],[SAR_brain (mW/kg)]]*10^3/Table2[[#This Row],[Input Power (mW)]]</f>
        <v>2.1787894086589743</v>
      </c>
      <c r="L33" s="11"/>
    </row>
    <row r="34" spans="1:12" ht="15.75" customHeight="1" x14ac:dyDescent="0.35">
      <c r="A34" s="3">
        <v>2450</v>
      </c>
      <c r="B34" s="3" t="s">
        <v>18</v>
      </c>
      <c r="C34" s="3">
        <v>1</v>
      </c>
      <c r="D34" s="7">
        <f>Table2[[#This Row],[SAR_wholebody (mW/kg)]]*10^3/Table2[[#This Row],[Input Power (mW)]]</f>
        <v>5.309781673506027</v>
      </c>
      <c r="E34" s="7">
        <f>Table2[[#This Row],[SAR_head (mW/kg)]]*10^3/Table2[[#This Row],[Input Power (mW)]]</f>
        <v>1.1609973712381689</v>
      </c>
      <c r="F34" s="7">
        <f>Table2[[#This Row],[SAR_trunk (mW/kg)]]*10^3/Table2[[#This Row],[Input Power (mW)]]</f>
        <v>5.516627967709689</v>
      </c>
      <c r="G34" s="7">
        <f>Table2[[#This Row],[psSAR10g_eyes (mW/kg)]]*10^3/Table2[[#This Row],[Input Power (mW)]]</f>
        <v>5.8895282701850808</v>
      </c>
      <c r="H34" s="7">
        <f>Table2[[#This Row],[psSAR10g_skin (mW/kg)]]*10^3/Table2[[#This Row],[Input Power (mW)]]</f>
        <v>89.853484630586763</v>
      </c>
      <c r="I34" s="7">
        <f>Table2[[#This Row],[psSAR10g_brain (mW/kg)]]*10^3/Table2[[#This Row],[Input Power (mW)]]</f>
        <v>5.5511824603420541</v>
      </c>
      <c r="J34" s="7">
        <f>Table2[[#This Row],[SAR_brain (mW/kg)]]*10^3/Table2[[#This Row],[Input Power (mW)]]</f>
        <v>0.60542652905245986</v>
      </c>
      <c r="L34" s="11"/>
    </row>
    <row r="35" spans="1:12" ht="15.75" customHeight="1" x14ac:dyDescent="0.35">
      <c r="A35" s="4">
        <v>2450</v>
      </c>
      <c r="B35" s="4" t="s">
        <v>19</v>
      </c>
      <c r="C35" s="4">
        <v>1</v>
      </c>
      <c r="D35" s="8">
        <f>Table2[[#This Row],[SAR_wholebody (mW/kg)]]*10^3/Table2[[#This Row],[Input Power (mW)]]</f>
        <v>6.5106325219759995</v>
      </c>
      <c r="E35" s="8">
        <f>Table2[[#This Row],[SAR_head (mW/kg)]]*10^3/Table2[[#This Row],[Input Power (mW)]]</f>
        <v>1.504916883629392</v>
      </c>
      <c r="F35" s="8">
        <f>Table2[[#This Row],[SAR_trunk (mW/kg)]]*10^3/Table2[[#This Row],[Input Power (mW)]]</f>
        <v>7.1202626836305534</v>
      </c>
      <c r="G35" s="8">
        <f>Table2[[#This Row],[psSAR10g_eyes (mW/kg)]]*10^3/Table2[[#This Row],[Input Power (mW)]]</f>
        <v>9.3453583572912837</v>
      </c>
      <c r="H35" s="8">
        <f>Table2[[#This Row],[psSAR10g_skin (mW/kg)]]*10^3/Table2[[#This Row],[Input Power (mW)]]</f>
        <v>75.632982922856087</v>
      </c>
      <c r="I35" s="8">
        <f>Table2[[#This Row],[psSAR10g_brain (mW/kg)]]*10^3/Table2[[#This Row],[Input Power (mW)]]</f>
        <v>7.7964161942522034</v>
      </c>
      <c r="J35" s="8">
        <f>Table2[[#This Row],[SAR_brain (mW/kg)]]*10^3/Table2[[#This Row],[Input Power (mW)]]</f>
        <v>0.93146721106051811</v>
      </c>
      <c r="L35" s="11"/>
    </row>
    <row r="36" spans="1:12" ht="15.75" customHeight="1" x14ac:dyDescent="0.35">
      <c r="A36" s="5">
        <v>2450</v>
      </c>
      <c r="B36" s="5" t="s">
        <v>20</v>
      </c>
      <c r="C36" s="5">
        <v>1</v>
      </c>
      <c r="D36" s="9">
        <f>Table2[[#This Row],[SAR_wholebody (mW/kg)]]*10^3/Table2[[#This Row],[Input Power (mW)]]</f>
        <v>4.2644980295848649</v>
      </c>
      <c r="E36" s="9">
        <f>Table2[[#This Row],[SAR_head (mW/kg)]]*10^3/Table2[[#This Row],[Input Power (mW)]]</f>
        <v>0.92664198603787029</v>
      </c>
      <c r="F36" s="9">
        <f>Table2[[#This Row],[SAR_trunk (mW/kg)]]*10^3/Table2[[#This Row],[Input Power (mW)]]</f>
        <v>4.4825309052131077</v>
      </c>
      <c r="G36" s="9">
        <f>Table2[[#This Row],[psSAR10g_eyes (mW/kg)]]*10^3/Table2[[#This Row],[Input Power (mW)]]</f>
        <v>6.175960711101121</v>
      </c>
      <c r="H36" s="9">
        <f>Table2[[#This Row],[psSAR10g_skin (mW/kg)]]*10^3/Table2[[#This Row],[Input Power (mW)]]</f>
        <v>83.088327832357706</v>
      </c>
      <c r="I36" s="9">
        <f>Table2[[#This Row],[psSAR10g_brain (mW/kg)]]*10^3/Table2[[#This Row],[Input Power (mW)]]</f>
        <v>6.0297145618229333</v>
      </c>
      <c r="J36" s="9">
        <f>Table2[[#This Row],[SAR_brain (mW/kg)]]*10^3/Table2[[#This Row],[Input Power (mW)]]</f>
        <v>0.58811912306500957</v>
      </c>
      <c r="L36" s="11"/>
    </row>
    <row r="37" spans="1:12" ht="15.75" customHeight="1" x14ac:dyDescent="0.35">
      <c r="A37" s="4">
        <v>2450</v>
      </c>
      <c r="B37" s="4" t="s">
        <v>21</v>
      </c>
      <c r="C37" s="4">
        <v>1</v>
      </c>
      <c r="D37" s="8">
        <f>Table2[[#This Row],[SAR_wholebody (mW/kg)]]*10^3/Table2[[#This Row],[Input Power (mW)]]</f>
        <v>3.5908235875656076</v>
      </c>
      <c r="E37" s="8">
        <f>Table2[[#This Row],[SAR_head (mW/kg)]]*10^3/Table2[[#This Row],[Input Power (mW)]]</f>
        <v>0.86905896945739314</v>
      </c>
      <c r="F37" s="8">
        <f>Table2[[#This Row],[SAR_trunk (mW/kg)]]*10^3/Table2[[#This Row],[Input Power (mW)]]</f>
        <v>3.7203198003676756</v>
      </c>
      <c r="G37" s="8">
        <f>Table2[[#This Row],[psSAR10g_eyes (mW/kg)]]*10^3/Table2[[#This Row],[Input Power (mW)]]</f>
        <v>5.7882010897160541</v>
      </c>
      <c r="H37" s="8">
        <f>Table2[[#This Row],[psSAR10g_skin (mW/kg)]]*10^3/Table2[[#This Row],[Input Power (mW)]]</f>
        <v>72.259186729341351</v>
      </c>
      <c r="I37" s="8">
        <f>Table2[[#This Row],[psSAR10g_brain (mW/kg)]]*10^3/Table2[[#This Row],[Input Power (mW)]]</f>
        <v>6.7873809909795</v>
      </c>
      <c r="J37" s="8">
        <f>Table2[[#This Row],[SAR_brain (mW/kg)]]*10^3/Table2[[#This Row],[Input Power (mW)]]</f>
        <v>0.61912648100340595</v>
      </c>
      <c r="L37" s="11"/>
    </row>
    <row r="38" spans="1:12" ht="15.75" customHeight="1" x14ac:dyDescent="0.35">
      <c r="A38" s="5">
        <v>2450</v>
      </c>
      <c r="B38" s="5" t="s">
        <v>22</v>
      </c>
      <c r="C38" s="5">
        <v>1</v>
      </c>
      <c r="D38" s="9">
        <f>Table2[[#This Row],[SAR_wholebody (mW/kg)]]*10^3/Table2[[#This Row],[Input Power (mW)]]</f>
        <v>5.2684024096637971</v>
      </c>
      <c r="E38" s="9">
        <f>Table2[[#This Row],[SAR_head (mW/kg)]]*10^3/Table2[[#This Row],[Input Power (mW)]]</f>
        <v>1.0995364396958647</v>
      </c>
      <c r="F38" s="9">
        <f>Table2[[#This Row],[SAR_trunk (mW/kg)]]*10^3/Table2[[#This Row],[Input Power (mW)]]</f>
        <v>5.7043350770934049</v>
      </c>
      <c r="G38" s="9">
        <f>Table2[[#This Row],[psSAR10g_eyes (mW/kg)]]*10^3/Table2[[#This Row],[Input Power (mW)]]</f>
        <v>4.2143396822977435</v>
      </c>
      <c r="H38" s="9">
        <f>Table2[[#This Row],[psSAR10g_skin (mW/kg)]]*10^3/Table2[[#This Row],[Input Power (mW)]]</f>
        <v>82.400196629496079</v>
      </c>
      <c r="I38" s="9">
        <f>Table2[[#This Row],[psSAR10g_brain (mW/kg)]]*10^3/Table2[[#This Row],[Input Power (mW)]]</f>
        <v>6.24559269481977</v>
      </c>
      <c r="J38" s="9">
        <f>Table2[[#This Row],[SAR_brain (mW/kg)]]*10^3/Table2[[#This Row],[Input Power (mW)]]</f>
        <v>0.62862615003066458</v>
      </c>
      <c r="L38" s="11"/>
    </row>
    <row r="39" spans="1:12" ht="15.75" customHeight="1" x14ac:dyDescent="0.35">
      <c r="A39" s="4">
        <v>2450</v>
      </c>
      <c r="B39" s="4" t="s">
        <v>23</v>
      </c>
      <c r="C39" s="4">
        <v>1</v>
      </c>
      <c r="D39" s="8">
        <f>Table2[[#This Row],[SAR_wholebody (mW/kg)]]*10^3/Table2[[#This Row],[Input Power (mW)]]</f>
        <v>6.0775018883924457</v>
      </c>
      <c r="E39" s="8">
        <f>Table2[[#This Row],[SAR_head (mW/kg)]]*10^3/Table2[[#This Row],[Input Power (mW)]]</f>
        <v>1.9744557429714595</v>
      </c>
      <c r="F39" s="8">
        <f>Table2[[#This Row],[SAR_trunk (mW/kg)]]*10^3/Table2[[#This Row],[Input Power (mW)]]</f>
        <v>6.0692453533111754</v>
      </c>
      <c r="G39" s="8">
        <f>Table2[[#This Row],[psSAR10g_eyes (mW/kg)]]*10^3/Table2[[#This Row],[Input Power (mW)]]</f>
        <v>11.050861332507715</v>
      </c>
      <c r="H39" s="8">
        <f>Table2[[#This Row],[psSAR10g_skin (mW/kg)]]*10^3/Table2[[#This Row],[Input Power (mW)]]</f>
        <v>161.02086685412164</v>
      </c>
      <c r="I39" s="8">
        <f>Table2[[#This Row],[psSAR10g_brain (mW/kg)]]*10^3/Table2[[#This Row],[Input Power (mW)]]</f>
        <v>13.659231925696217</v>
      </c>
      <c r="J39" s="8">
        <f>Table2[[#This Row],[SAR_brain (mW/kg)]]*10^3/Table2[[#This Row],[Input Power (mW)]]</f>
        <v>1.2396178495092487</v>
      </c>
      <c r="L39" s="11"/>
    </row>
    <row r="40" spans="1:12" ht="15.75" customHeight="1" x14ac:dyDescent="0.35">
      <c r="A40" s="5">
        <v>2450</v>
      </c>
      <c r="B40" s="5" t="s">
        <v>24</v>
      </c>
      <c r="C40" s="5">
        <v>1</v>
      </c>
      <c r="D40" s="9">
        <f>Table2[[#This Row],[SAR_wholebody (mW/kg)]]*10^3/Table2[[#This Row],[Input Power (mW)]]</f>
        <v>5.2632987732408516</v>
      </c>
      <c r="E40" s="9">
        <f>Table2[[#This Row],[SAR_head (mW/kg)]]*10^3/Table2[[#This Row],[Input Power (mW)]]</f>
        <v>1.4591966414882838</v>
      </c>
      <c r="F40" s="9">
        <f>Table2[[#This Row],[SAR_trunk (mW/kg)]]*10^3/Table2[[#This Row],[Input Power (mW)]]</f>
        <v>6.2033291612005135</v>
      </c>
      <c r="G40" s="9">
        <f>Table2[[#This Row],[psSAR10g_eyes (mW/kg)]]*10^3/Table2[[#This Row],[Input Power (mW)]]</f>
        <v>9.8320706335716093</v>
      </c>
      <c r="H40" s="9">
        <f>Table2[[#This Row],[psSAR10g_skin (mW/kg)]]*10^3/Table2[[#This Row],[Input Power (mW)]]</f>
        <v>73.765559876126346</v>
      </c>
      <c r="I40" s="9">
        <f>Table2[[#This Row],[psSAR10g_brain (mW/kg)]]*10^3/Table2[[#This Row],[Input Power (mW)]]</f>
        <v>9.4939096444454716</v>
      </c>
      <c r="J40" s="9">
        <f>Table2[[#This Row],[SAR_brain (mW/kg)]]*10^3/Table2[[#This Row],[Input Power (mW)]]</f>
        <v>0.98356390656455517</v>
      </c>
      <c r="L40" s="11"/>
    </row>
    <row r="41" spans="1:12" ht="15.75" customHeight="1" thickBot="1" x14ac:dyDescent="0.4">
      <c r="A41" s="6">
        <v>2450</v>
      </c>
      <c r="B41" s="6" t="s">
        <v>25</v>
      </c>
      <c r="C41" s="6">
        <v>1</v>
      </c>
      <c r="D41" s="10">
        <f>Table2[[#This Row],[SAR_wholebody (mW/kg)]]*10^3/Table2[[#This Row],[Input Power (mW)]]</f>
        <v>6.896626620907675</v>
      </c>
      <c r="E41" s="10">
        <f>Table2[[#This Row],[SAR_head (mW/kg)]]*10^3/Table2[[#This Row],[Input Power (mW)]]</f>
        <v>2.7871562273484596</v>
      </c>
      <c r="F41" s="10">
        <f>Table2[[#This Row],[SAR_trunk (mW/kg)]]*10^3/Table2[[#This Row],[Input Power (mW)]]</f>
        <v>8.2163641487381085</v>
      </c>
      <c r="G41" s="10">
        <f>Table2[[#This Row],[psSAR10g_eyes (mW/kg)]]*10^3/Table2[[#This Row],[Input Power (mW)]]</f>
        <v>16.21439629733743</v>
      </c>
      <c r="H41" s="10">
        <f>Table2[[#This Row],[psSAR10g_skin (mW/kg)]]*10^3/Table2[[#This Row],[Input Power (mW)]]</f>
        <v>87.654879142389461</v>
      </c>
      <c r="I41" s="10">
        <f>Table2[[#This Row],[psSAR10g_brain (mW/kg)]]*10^3/Table2[[#This Row],[Input Power (mW)]]</f>
        <v>14.461814306907838</v>
      </c>
      <c r="J41" s="10">
        <f>Table2[[#This Row],[SAR_brain (mW/kg)]]*10^3/Table2[[#This Row],[Input Power (mW)]]</f>
        <v>1.5823556053972971</v>
      </c>
      <c r="L41" s="11"/>
    </row>
    <row r="42" spans="1:12" ht="15.75" customHeight="1" x14ac:dyDescent="0.35">
      <c r="A42" s="3">
        <v>3500</v>
      </c>
      <c r="B42" s="3" t="s">
        <v>18</v>
      </c>
      <c r="C42" s="3">
        <v>1</v>
      </c>
      <c r="D42" s="7">
        <f>Table2[[#This Row],[SAR_wholebody (mW/kg)]]*10^3/Table2[[#This Row],[Input Power (mW)]]</f>
        <v>4.3362465518362727</v>
      </c>
      <c r="E42" s="7">
        <f>Table2[[#This Row],[SAR_head (mW/kg)]]*10^3/Table2[[#This Row],[Input Power (mW)]]</f>
        <v>1.0903010426456528</v>
      </c>
      <c r="F42" s="7">
        <f>Table2[[#This Row],[SAR_trunk (mW/kg)]]*10^3/Table2[[#This Row],[Input Power (mW)]]</f>
        <v>4.3912804643160186</v>
      </c>
      <c r="G42" s="7">
        <f>Table2[[#This Row],[psSAR10g_eyes (mW/kg)]]*10^3/Table2[[#This Row],[Input Power (mW)]]</f>
        <v>6.7087979023163458</v>
      </c>
      <c r="H42" s="7">
        <f>Table2[[#This Row],[psSAR10g_skin (mW/kg)]]*10^3/Table2[[#This Row],[Input Power (mW)]]</f>
        <v>72.084096311518536</v>
      </c>
      <c r="I42" s="7">
        <f>Table2[[#This Row],[psSAR10g_brain (mW/kg)]]*10^3/Table2[[#This Row],[Input Power (mW)]]</f>
        <v>6.2682481039513993</v>
      </c>
      <c r="J42" s="7">
        <f>Table2[[#This Row],[SAR_brain (mW/kg)]]*10^3/Table2[[#This Row],[Input Power (mW)]]</f>
        <v>0.38638781002522349</v>
      </c>
      <c r="L42" s="11"/>
    </row>
    <row r="43" spans="1:12" ht="15.75" customHeight="1" x14ac:dyDescent="0.35">
      <c r="A43" s="4">
        <v>3500</v>
      </c>
      <c r="B43" s="4" t="s">
        <v>19</v>
      </c>
      <c r="C43" s="4">
        <v>1</v>
      </c>
      <c r="D43" s="8">
        <f>Table2[[#This Row],[SAR_wholebody (mW/kg)]]*10^3/Table2[[#This Row],[Input Power (mW)]]</f>
        <v>5.0823235243490545</v>
      </c>
      <c r="E43" s="8">
        <f>Table2[[#This Row],[SAR_head (mW/kg)]]*10^3/Table2[[#This Row],[Input Power (mW)]]</f>
        <v>1.2149828274261492</v>
      </c>
      <c r="F43" s="8">
        <f>Table2[[#This Row],[SAR_trunk (mW/kg)]]*10^3/Table2[[#This Row],[Input Power (mW)]]</f>
        <v>4.3729473587702188</v>
      </c>
      <c r="G43" s="8">
        <f>Table2[[#This Row],[psSAR10g_eyes (mW/kg)]]*10^3/Table2[[#This Row],[Input Power (mW)]]</f>
        <v>6.8504551726523637</v>
      </c>
      <c r="H43" s="8">
        <f>Table2[[#This Row],[psSAR10g_skin (mW/kg)]]*10^3/Table2[[#This Row],[Input Power (mW)]]</f>
        <v>82.64526195559128</v>
      </c>
      <c r="I43" s="8">
        <f>Table2[[#This Row],[psSAR10g_brain (mW/kg)]]*10^3/Table2[[#This Row],[Input Power (mW)]]</f>
        <v>12.354339482456417</v>
      </c>
      <c r="J43" s="8">
        <f>Table2[[#This Row],[SAR_brain (mW/kg)]]*10^3/Table2[[#This Row],[Input Power (mW)]]</f>
        <v>0.39395503294981138</v>
      </c>
      <c r="L43" s="11"/>
    </row>
    <row r="44" spans="1:12" ht="15.75" customHeight="1" x14ac:dyDescent="0.35">
      <c r="A44" s="5">
        <v>3500</v>
      </c>
      <c r="B44" s="5" t="s">
        <v>20</v>
      </c>
      <c r="C44" s="5">
        <v>1</v>
      </c>
      <c r="D44" s="9">
        <f>Table2[[#This Row],[SAR_wholebody (mW/kg)]]*10^3/Table2[[#This Row],[Input Power (mW)]]</f>
        <v>3.4938117878025641</v>
      </c>
      <c r="E44" s="9">
        <f>Table2[[#This Row],[SAR_head (mW/kg)]]*10^3/Table2[[#This Row],[Input Power (mW)]]</f>
        <v>0.82101249716302727</v>
      </c>
      <c r="F44" s="9">
        <f>Table2[[#This Row],[SAR_trunk (mW/kg)]]*10^3/Table2[[#This Row],[Input Power (mW)]]</f>
        <v>3.6008121639137456</v>
      </c>
      <c r="G44" s="9">
        <f>Table2[[#This Row],[psSAR10g_eyes (mW/kg)]]*10^3/Table2[[#This Row],[Input Power (mW)]]</f>
        <v>9.2180444597491089</v>
      </c>
      <c r="H44" s="9">
        <f>Table2[[#This Row],[psSAR10g_skin (mW/kg)]]*10^3/Table2[[#This Row],[Input Power (mW)]]</f>
        <v>71.598935743635096</v>
      </c>
      <c r="I44" s="9">
        <f>Table2[[#This Row],[psSAR10g_brain (mW/kg)]]*10^3/Table2[[#This Row],[Input Power (mW)]]</f>
        <v>8.8074399723066712</v>
      </c>
      <c r="J44" s="9">
        <f>Table2[[#This Row],[SAR_brain (mW/kg)]]*10^3/Table2[[#This Row],[Input Power (mW)]]</f>
        <v>0.3414971429439736</v>
      </c>
      <c r="L44" s="11"/>
    </row>
    <row r="45" spans="1:12" ht="15.75" customHeight="1" x14ac:dyDescent="0.35">
      <c r="A45" s="4">
        <v>3500</v>
      </c>
      <c r="B45" s="4" t="s">
        <v>21</v>
      </c>
      <c r="C45" s="4">
        <v>1</v>
      </c>
      <c r="D45" s="8">
        <f>Table2[[#This Row],[SAR_wholebody (mW/kg)]]*10^3/Table2[[#This Row],[Input Power (mW)]]</f>
        <v>2.782198835481382</v>
      </c>
      <c r="E45" s="8">
        <f>Table2[[#This Row],[SAR_head (mW/kg)]]*10^3/Table2[[#This Row],[Input Power (mW)]]</f>
        <v>0.67059168407008174</v>
      </c>
      <c r="F45" s="8">
        <f>Table2[[#This Row],[SAR_trunk (mW/kg)]]*10^3/Table2[[#This Row],[Input Power (mW)]]</f>
        <v>2.3188149714492368</v>
      </c>
      <c r="G45" s="8">
        <f>Table2[[#This Row],[psSAR10g_eyes (mW/kg)]]*10^3/Table2[[#This Row],[Input Power (mW)]]</f>
        <v>4.3519795879019636</v>
      </c>
      <c r="H45" s="8">
        <f>Table2[[#This Row],[psSAR10g_skin (mW/kg)]]*10^3/Table2[[#This Row],[Input Power (mW)]]</f>
        <v>77.624828997282549</v>
      </c>
      <c r="I45" s="8">
        <f>Table2[[#This Row],[psSAR10g_brain (mW/kg)]]*10^3/Table2[[#This Row],[Input Power (mW)]]</f>
        <v>6.4240070613430911</v>
      </c>
      <c r="J45" s="8">
        <f>Table2[[#This Row],[SAR_brain (mW/kg)]]*10^3/Table2[[#This Row],[Input Power (mW)]]</f>
        <v>0.2021680845179511</v>
      </c>
      <c r="L45" s="11"/>
    </row>
    <row r="46" spans="1:12" ht="15.75" customHeight="1" x14ac:dyDescent="0.35">
      <c r="A46" s="5">
        <v>3500</v>
      </c>
      <c r="B46" s="5" t="s">
        <v>22</v>
      </c>
      <c r="C46" s="5">
        <v>1</v>
      </c>
      <c r="D46" s="9">
        <f>Table2[[#This Row],[SAR_wholebody (mW/kg)]]*10^3/Table2[[#This Row],[Input Power (mW)]]</f>
        <v>4.2323936606880004</v>
      </c>
      <c r="E46" s="9">
        <f>Table2[[#This Row],[SAR_head (mW/kg)]]*10^3/Table2[[#This Row],[Input Power (mW)]]</f>
        <v>0.94040984740593825</v>
      </c>
      <c r="F46" s="9">
        <f>Table2[[#This Row],[SAR_trunk (mW/kg)]]*10^3/Table2[[#This Row],[Input Power (mW)]]</f>
        <v>4.1215236026897086</v>
      </c>
      <c r="G46" s="9">
        <f>Table2[[#This Row],[psSAR10g_eyes (mW/kg)]]*10^3/Table2[[#This Row],[Input Power (mW)]]</f>
        <v>9.1925455968898184</v>
      </c>
      <c r="H46" s="9">
        <f>Table2[[#This Row],[psSAR10g_skin (mW/kg)]]*10^3/Table2[[#This Row],[Input Power (mW)]]</f>
        <v>91.305315047982191</v>
      </c>
      <c r="I46" s="9">
        <f>Table2[[#This Row],[psSAR10g_brain (mW/kg)]]*10^3/Table2[[#This Row],[Input Power (mW)]]</f>
        <v>11.926882117697728</v>
      </c>
      <c r="J46" s="9">
        <f>Table2[[#This Row],[SAR_brain (mW/kg)]]*10^3/Table2[[#This Row],[Input Power (mW)]]</f>
        <v>0.39385298329160295</v>
      </c>
      <c r="L46" s="11"/>
    </row>
    <row r="47" spans="1:12" ht="15.75" customHeight="1" x14ac:dyDescent="0.35">
      <c r="A47" s="4">
        <v>3500</v>
      </c>
      <c r="B47" s="4" t="s">
        <v>23</v>
      </c>
      <c r="C47" s="4">
        <v>1</v>
      </c>
      <c r="D47" s="8">
        <f>Table2[[#This Row],[SAR_wholebody (mW/kg)]]*10^3/Table2[[#This Row],[Input Power (mW)]]</f>
        <v>5.7174898414997815</v>
      </c>
      <c r="E47" s="8">
        <f>Table2[[#This Row],[SAR_head (mW/kg)]]*10^3/Table2[[#This Row],[Input Power (mW)]]</f>
        <v>1.3765293854442071</v>
      </c>
      <c r="F47" s="8">
        <f>Table2[[#This Row],[SAR_trunk (mW/kg)]]*10^3/Table2[[#This Row],[Input Power (mW)]]</f>
        <v>5.7431751861915092</v>
      </c>
      <c r="G47" s="8">
        <f>Table2[[#This Row],[psSAR10g_eyes (mW/kg)]]*10^3/Table2[[#This Row],[Input Power (mW)]]</f>
        <v>11.591770084386782</v>
      </c>
      <c r="H47" s="8">
        <f>Table2[[#This Row],[psSAR10g_skin (mW/kg)]]*10^3/Table2[[#This Row],[Input Power (mW)]]</f>
        <v>68.339911420547637</v>
      </c>
      <c r="I47" s="8">
        <f>Table2[[#This Row],[psSAR10g_brain (mW/kg)]]*10^3/Table2[[#This Row],[Input Power (mW)]]</f>
        <v>15.093208436124019</v>
      </c>
      <c r="J47" s="8">
        <f>Table2[[#This Row],[SAR_brain (mW/kg)]]*10^3/Table2[[#This Row],[Input Power (mW)]]</f>
        <v>0.52282478840025881</v>
      </c>
      <c r="L47" s="11"/>
    </row>
    <row r="48" spans="1:12" ht="15.75" customHeight="1" x14ac:dyDescent="0.35">
      <c r="A48" s="5">
        <v>3500</v>
      </c>
      <c r="B48" s="5" t="s">
        <v>24</v>
      </c>
      <c r="C48" s="5">
        <v>1</v>
      </c>
      <c r="D48" s="9">
        <f>Table2[[#This Row],[SAR_wholebody (mW/kg)]]*10^3/Table2[[#This Row],[Input Power (mW)]]</f>
        <v>3.8104834047559817</v>
      </c>
      <c r="E48" s="9">
        <f>Table2[[#This Row],[SAR_head (mW/kg)]]*10^3/Table2[[#This Row],[Input Power (mW)]]</f>
        <v>1.5892449058457272</v>
      </c>
      <c r="F48" s="9">
        <f>Table2[[#This Row],[SAR_trunk (mW/kg)]]*10^3/Table2[[#This Row],[Input Power (mW)]]</f>
        <v>3.7721647684045272</v>
      </c>
      <c r="G48" s="9">
        <f>Table2[[#This Row],[psSAR10g_eyes (mW/kg)]]*10^3/Table2[[#This Row],[Input Power (mW)]]</f>
        <v>20.653224036528364</v>
      </c>
      <c r="H48" s="9">
        <f>Table2[[#This Row],[psSAR10g_skin (mW/kg)]]*10^3/Table2[[#This Row],[Input Power (mW)]]</f>
        <v>81.218910106820175</v>
      </c>
      <c r="I48" s="9">
        <f>Table2[[#This Row],[psSAR10g_brain (mW/kg)]]*10^3/Table2[[#This Row],[Input Power (mW)]]</f>
        <v>16.642451552487419</v>
      </c>
      <c r="J48" s="9">
        <f>Table2[[#This Row],[SAR_brain (mW/kg)]]*10^3/Table2[[#This Row],[Input Power (mW)]]</f>
        <v>0.55432476474195125</v>
      </c>
      <c r="L48" s="11"/>
    </row>
    <row r="49" spans="1:12" ht="15.75" customHeight="1" thickBot="1" x14ac:dyDescent="0.4">
      <c r="A49" s="6">
        <v>3500</v>
      </c>
      <c r="B49" s="6" t="s">
        <v>25</v>
      </c>
      <c r="C49" s="6">
        <v>1</v>
      </c>
      <c r="D49" s="10">
        <f>Table2[[#This Row],[SAR_wholebody (mW/kg)]]*10^3/Table2[[#This Row],[Input Power (mW)]]</f>
        <v>4.9489855406713454</v>
      </c>
      <c r="E49" s="10">
        <f>Table2[[#This Row],[SAR_head (mW/kg)]]*10^3/Table2[[#This Row],[Input Power (mW)]]</f>
        <v>1.5031820608194182</v>
      </c>
      <c r="F49" s="10">
        <f>Table2[[#This Row],[SAR_trunk (mW/kg)]]*10^3/Table2[[#This Row],[Input Power (mW)]]</f>
        <v>4.5043932308721271</v>
      </c>
      <c r="G49" s="10">
        <f>Table2[[#This Row],[psSAR10g_eyes (mW/kg)]]*10^3/Table2[[#This Row],[Input Power (mW)]]</f>
        <v>9.7058175965832536</v>
      </c>
      <c r="H49" s="10">
        <f>Table2[[#This Row],[psSAR10g_skin (mW/kg)]]*10^3/Table2[[#This Row],[Input Power (mW)]]</f>
        <v>73.026863003064719</v>
      </c>
      <c r="I49" s="10">
        <f>Table2[[#This Row],[psSAR10g_brain (mW/kg)]]*10^3/Table2[[#This Row],[Input Power (mW)]]</f>
        <v>22.400928817171089</v>
      </c>
      <c r="J49" s="10">
        <f>Table2[[#This Row],[SAR_brain (mW/kg)]]*10^3/Table2[[#This Row],[Input Power (mW)]]</f>
        <v>0.6140938063288548</v>
      </c>
      <c r="L49" s="11"/>
    </row>
    <row r="50" spans="1:12" ht="15.75" customHeight="1" x14ac:dyDescent="0.35">
      <c r="A50" s="3">
        <v>5200</v>
      </c>
      <c r="B50" s="3" t="s">
        <v>18</v>
      </c>
      <c r="C50" s="3">
        <v>1</v>
      </c>
      <c r="D50" s="7">
        <f>Table2[[#This Row],[SAR_wholebody (mW/kg)]]*10^3/Table2[[#This Row],[Input Power (mW)]]</f>
        <v>3.3434343711685468</v>
      </c>
      <c r="E50" s="7">
        <f>Table2[[#This Row],[SAR_head (mW/kg)]]*10^3/Table2[[#This Row],[Input Power (mW)]]</f>
        <v>0.75279534613793775</v>
      </c>
      <c r="F50" s="7">
        <f>Table2[[#This Row],[SAR_trunk (mW/kg)]]*10^3/Table2[[#This Row],[Input Power (mW)]]</f>
        <v>2.5989807587273961</v>
      </c>
      <c r="G50" s="7">
        <f>Table2[[#This Row],[psSAR10g_eyes (mW/kg)]]*10^3/Table2[[#This Row],[Input Power (mW)]]</f>
        <v>13.528912868430679</v>
      </c>
      <c r="H50" s="7">
        <f>Table2[[#This Row],[psSAR10g_skin (mW/kg)]]*10^3/Table2[[#This Row],[Input Power (mW)]]</f>
        <v>63.441800649389059</v>
      </c>
      <c r="I50" s="7">
        <f>Table2[[#This Row],[psSAR10g_brain (mW/kg)]]*10^3/Table2[[#This Row],[Input Power (mW)]]</f>
        <v>10.59460763824732</v>
      </c>
      <c r="J50" s="7">
        <f>Table2[[#This Row],[SAR_brain (mW/kg)]]*10^3/Table2[[#This Row],[Input Power (mW)]]</f>
        <v>0.14503197965092596</v>
      </c>
      <c r="L50" s="11"/>
    </row>
    <row r="51" spans="1:12" ht="15.75" customHeight="1" x14ac:dyDescent="0.35">
      <c r="A51" s="4">
        <v>5200</v>
      </c>
      <c r="B51" s="4" t="s">
        <v>19</v>
      </c>
      <c r="C51" s="4">
        <v>1</v>
      </c>
      <c r="D51" s="8">
        <f>Table2[[#This Row],[SAR_wholebody (mW/kg)]]*10^3/Table2[[#This Row],[Input Power (mW)]]</f>
        <v>3.1427015869577168</v>
      </c>
      <c r="E51" s="8">
        <f>Table2[[#This Row],[SAR_head (mW/kg)]]*10^3/Table2[[#This Row],[Input Power (mW)]]</f>
        <v>0.46939234916924338</v>
      </c>
      <c r="F51" s="8">
        <f>Table2[[#This Row],[SAR_trunk (mW/kg)]]*10^3/Table2[[#This Row],[Input Power (mW)]]</f>
        <v>2.1719609574749814</v>
      </c>
      <c r="G51" s="8">
        <f>Table2[[#This Row],[psSAR10g_eyes (mW/kg)]]*10^3/Table2[[#This Row],[Input Power (mW)]]</f>
        <v>4.9663081548920376</v>
      </c>
      <c r="H51" s="8">
        <f>Table2[[#This Row],[psSAR10g_skin (mW/kg)]]*10^3/Table2[[#This Row],[Input Power (mW)]]</f>
        <v>91.407021170653778</v>
      </c>
      <c r="I51" s="8">
        <f>Table2[[#This Row],[psSAR10g_brain (mW/kg)]]*10^3/Table2[[#This Row],[Input Power (mW)]]</f>
        <v>4.9160567806201332</v>
      </c>
      <c r="J51" s="8">
        <f>Table2[[#This Row],[SAR_brain (mW/kg)]]*10^3/Table2[[#This Row],[Input Power (mW)]]</f>
        <v>9.6185143897350028E-2</v>
      </c>
      <c r="L51" s="11"/>
    </row>
    <row r="52" spans="1:12" ht="15.75" customHeight="1" x14ac:dyDescent="0.35">
      <c r="A52" s="5">
        <v>5200</v>
      </c>
      <c r="B52" s="5" t="s">
        <v>20</v>
      </c>
      <c r="C52" s="5">
        <v>1</v>
      </c>
      <c r="D52" s="9">
        <f>Table2[[#This Row],[SAR_wholebody (mW/kg)]]*10^3/Table2[[#This Row],[Input Power (mW)]]</f>
        <v>2.6356180865105094</v>
      </c>
      <c r="E52" s="9">
        <f>Table2[[#This Row],[SAR_head (mW/kg)]]*10^3/Table2[[#This Row],[Input Power (mW)]]</f>
        <v>0.92617058099331706</v>
      </c>
      <c r="F52" s="9">
        <f>Table2[[#This Row],[SAR_trunk (mW/kg)]]*10^3/Table2[[#This Row],[Input Power (mW)]]</f>
        <v>2.1399919725504906</v>
      </c>
      <c r="G52" s="9">
        <f>Table2[[#This Row],[psSAR10g_eyes (mW/kg)]]*10^3/Table2[[#This Row],[Input Power (mW)]]</f>
        <v>25.426465797363207</v>
      </c>
      <c r="H52" s="9">
        <f>Table2[[#This Row],[psSAR10g_skin (mW/kg)]]*10^3/Table2[[#This Row],[Input Power (mW)]]</f>
        <v>51.689502802311509</v>
      </c>
      <c r="I52" s="9">
        <f>Table2[[#This Row],[psSAR10g_brain (mW/kg)]]*10^3/Table2[[#This Row],[Input Power (mW)]]</f>
        <v>18.60622791990534</v>
      </c>
      <c r="J52" s="9">
        <f>Table2[[#This Row],[SAR_brain (mW/kg)]]*10^3/Table2[[#This Row],[Input Power (mW)]]</f>
        <v>0.23201708794043252</v>
      </c>
      <c r="L52" s="11"/>
    </row>
    <row r="53" spans="1:12" ht="15.75" customHeight="1" x14ac:dyDescent="0.35">
      <c r="A53" s="4">
        <v>5200</v>
      </c>
      <c r="B53" s="4" t="s">
        <v>21</v>
      </c>
      <c r="C53" s="4">
        <v>1</v>
      </c>
      <c r="D53" s="8">
        <f>Table2[[#This Row],[SAR_wholebody (mW/kg)]]*10^3/Table2[[#This Row],[Input Power (mW)]]</f>
        <v>2.2072609677961132</v>
      </c>
      <c r="E53" s="8">
        <f>Table2[[#This Row],[SAR_head (mW/kg)]]*10^3/Table2[[#This Row],[Input Power (mW)]]</f>
        <v>0.37833587150018866</v>
      </c>
      <c r="F53" s="8">
        <f>Table2[[#This Row],[SAR_trunk (mW/kg)]]*10^3/Table2[[#This Row],[Input Power (mW)]]</f>
        <v>1.5729627659792469</v>
      </c>
      <c r="G53" s="8">
        <f>Table2[[#This Row],[psSAR10g_eyes (mW/kg)]]*10^3/Table2[[#This Row],[Input Power (mW)]]</f>
        <v>6.728249639422283</v>
      </c>
      <c r="H53" s="8">
        <f>Table2[[#This Row],[psSAR10g_skin (mW/kg)]]*10^3/Table2[[#This Row],[Input Power (mW)]]</f>
        <v>58.422155572368673</v>
      </c>
      <c r="I53" s="8">
        <f>Table2[[#This Row],[psSAR10g_brain (mW/kg)]]*10^3/Table2[[#This Row],[Input Power (mW)]]</f>
        <v>5.7110815937568491</v>
      </c>
      <c r="J53" s="8">
        <f>Table2[[#This Row],[SAR_brain (mW/kg)]]*10^3/Table2[[#This Row],[Input Power (mW)]]</f>
        <v>7.5170123383585197E-2</v>
      </c>
      <c r="L53" s="11"/>
    </row>
    <row r="54" spans="1:12" ht="15.75" customHeight="1" x14ac:dyDescent="0.35">
      <c r="A54" s="5">
        <v>5200</v>
      </c>
      <c r="B54" s="5" t="s">
        <v>22</v>
      </c>
      <c r="C54" s="5">
        <v>1</v>
      </c>
      <c r="D54" s="9">
        <f>Table2[[#This Row],[SAR_wholebody (mW/kg)]]*10^3/Table2[[#This Row],[Input Power (mW)]]</f>
        <v>3.145175080617717</v>
      </c>
      <c r="E54" s="9">
        <f>Table2[[#This Row],[SAR_head (mW/kg)]]*10^3/Table2[[#This Row],[Input Power (mW)]]</f>
        <v>0.69504051017358304</v>
      </c>
      <c r="F54" s="9">
        <f>Table2[[#This Row],[SAR_trunk (mW/kg)]]*10^3/Table2[[#This Row],[Input Power (mW)]]</f>
        <v>2.5318083860889056</v>
      </c>
      <c r="G54" s="9">
        <f>Table2[[#This Row],[psSAR10g_eyes (mW/kg)]]*10^3/Table2[[#This Row],[Input Power (mW)]]</f>
        <v>8.0204955118650929</v>
      </c>
      <c r="H54" s="9">
        <f>Table2[[#This Row],[psSAR10g_skin (mW/kg)]]*10^3/Table2[[#This Row],[Input Power (mW)]]</f>
        <v>72.516620721043026</v>
      </c>
      <c r="I54" s="9">
        <f>Table2[[#This Row],[psSAR10g_brain (mW/kg)]]*10^3/Table2[[#This Row],[Input Power (mW)]]</f>
        <v>10.433080280184058</v>
      </c>
      <c r="J54" s="9">
        <f>Table2[[#This Row],[SAR_brain (mW/kg)]]*10^3/Table2[[#This Row],[Input Power (mW)]]</f>
        <v>0.14234423395444462</v>
      </c>
      <c r="L54" s="11"/>
    </row>
    <row r="55" spans="1:12" ht="15.75" customHeight="1" x14ac:dyDescent="0.35">
      <c r="A55" s="4">
        <v>5200</v>
      </c>
      <c r="B55" s="4" t="s">
        <v>23</v>
      </c>
      <c r="C55" s="4">
        <v>1</v>
      </c>
      <c r="D55" s="8">
        <f>Table2[[#This Row],[SAR_wholebody (mW/kg)]]*10^3/Table2[[#This Row],[Input Power (mW)]]</f>
        <v>3.7371344001541695</v>
      </c>
      <c r="E55" s="8">
        <f>Table2[[#This Row],[SAR_head (mW/kg)]]*10^3/Table2[[#This Row],[Input Power (mW)]]</f>
        <v>0.54270538080839992</v>
      </c>
      <c r="F55" s="8">
        <f>Table2[[#This Row],[SAR_trunk (mW/kg)]]*10^3/Table2[[#This Row],[Input Power (mW)]]</f>
        <v>2.7094812604753589</v>
      </c>
      <c r="G55" s="8">
        <f>Table2[[#This Row],[psSAR10g_eyes (mW/kg)]]*10^3/Table2[[#This Row],[Input Power (mW)]]</f>
        <v>4.5163212907021126</v>
      </c>
      <c r="H55" s="8">
        <f>Table2[[#This Row],[psSAR10g_skin (mW/kg)]]*10^3/Table2[[#This Row],[Input Power (mW)]]</f>
        <v>63.371034783176988</v>
      </c>
      <c r="I55" s="8">
        <f>Table2[[#This Row],[psSAR10g_brain (mW/kg)]]*10^3/Table2[[#This Row],[Input Power (mW)]]</f>
        <v>6.6976095390819816</v>
      </c>
      <c r="J55" s="8">
        <f>Table2[[#This Row],[SAR_brain (mW/kg)]]*10^3/Table2[[#This Row],[Input Power (mW)]]</f>
        <v>0.11800064375397359</v>
      </c>
      <c r="L55" s="11"/>
    </row>
    <row r="56" spans="1:12" ht="15.75" customHeight="1" x14ac:dyDescent="0.35">
      <c r="A56" s="5">
        <v>5200</v>
      </c>
      <c r="B56" s="5" t="s">
        <v>24</v>
      </c>
      <c r="C56" s="5">
        <v>1</v>
      </c>
      <c r="D56" s="9">
        <f>Table2[[#This Row],[SAR_wholebody (mW/kg)]]*10^3/Table2[[#This Row],[Input Power (mW)]]</f>
        <v>3.3329901511099997</v>
      </c>
      <c r="E56" s="9">
        <f>Table2[[#This Row],[SAR_head (mW/kg)]]*10^3/Table2[[#This Row],[Input Power (mW)]]</f>
        <v>1.549971184750885</v>
      </c>
      <c r="F56" s="9">
        <f>Table2[[#This Row],[SAR_trunk (mW/kg)]]*10^3/Table2[[#This Row],[Input Power (mW)]]</f>
        <v>2.5108279598971888</v>
      </c>
      <c r="G56" s="9">
        <f>Table2[[#This Row],[psSAR10g_eyes (mW/kg)]]*10^3/Table2[[#This Row],[Input Power (mW)]]</f>
        <v>31.931989773377168</v>
      </c>
      <c r="H56" s="9">
        <f>Table2[[#This Row],[psSAR10g_skin (mW/kg)]]*10^3/Table2[[#This Row],[Input Power (mW)]]</f>
        <v>95.421167223551507</v>
      </c>
      <c r="I56" s="9">
        <f>Table2[[#This Row],[psSAR10g_brain (mW/kg)]]*10^3/Table2[[#This Row],[Input Power (mW)]]</f>
        <v>26.564917184223582</v>
      </c>
      <c r="J56" s="9">
        <f>Table2[[#This Row],[SAR_brain (mW/kg)]]*10^3/Table2[[#This Row],[Input Power (mW)]]</f>
        <v>0.29966454467230763</v>
      </c>
      <c r="L56" s="11"/>
    </row>
    <row r="57" spans="1:12" ht="15.75" customHeight="1" thickBot="1" x14ac:dyDescent="0.4">
      <c r="A57" s="6">
        <v>5200</v>
      </c>
      <c r="B57" s="6" t="s">
        <v>25</v>
      </c>
      <c r="C57" s="6">
        <v>1</v>
      </c>
      <c r="D57" s="10">
        <f>Table2[[#This Row],[SAR_wholebody (mW/kg)]]*10^3/Table2[[#This Row],[Input Power (mW)]]</f>
        <v>3.4574009727476036</v>
      </c>
      <c r="E57" s="10">
        <f>Table2[[#This Row],[SAR_head (mW/kg)]]*10^3/Table2[[#This Row],[Input Power (mW)]]</f>
        <v>0.90297279586116985</v>
      </c>
      <c r="F57" s="10">
        <f>Table2[[#This Row],[SAR_trunk (mW/kg)]]*10^3/Table2[[#This Row],[Input Power (mW)]]</f>
        <v>2.775050924617434</v>
      </c>
      <c r="G57" s="10">
        <f>Table2[[#This Row],[psSAR10g_eyes (mW/kg)]]*10^3/Table2[[#This Row],[Input Power (mW)]]</f>
        <v>14.286857987554376</v>
      </c>
      <c r="H57" s="10">
        <f>Table2[[#This Row],[psSAR10g_skin (mW/kg)]]*10^3/Table2[[#This Row],[Input Power (mW)]]</f>
        <v>63.258117261129811</v>
      </c>
      <c r="I57" s="10">
        <f>Table2[[#This Row],[psSAR10g_brain (mW/kg)]]*10^3/Table2[[#This Row],[Input Power (mW)]]</f>
        <v>12.965885343307944</v>
      </c>
      <c r="J57" s="10">
        <f>Table2[[#This Row],[SAR_brain (mW/kg)]]*10^3/Table2[[#This Row],[Input Power (mW)]]</f>
        <v>0.18267631747669599</v>
      </c>
      <c r="L57" s="11"/>
    </row>
    <row r="58" spans="1:12" ht="15.75" customHeight="1" x14ac:dyDescent="0.35">
      <c r="A58" s="3">
        <v>5800</v>
      </c>
      <c r="B58" s="3" t="s">
        <v>18</v>
      </c>
      <c r="C58" s="3">
        <v>1</v>
      </c>
      <c r="D58" s="7">
        <f>Table2[[#This Row],[SAR_wholebody (mW/kg)]]*10^3/Table2[[#This Row],[Input Power (mW)]]</f>
        <v>3.1531498498341111</v>
      </c>
      <c r="E58" s="7">
        <f>Table2[[#This Row],[SAR_head (mW/kg)]]*10^3/Table2[[#This Row],[Input Power (mW)]]</f>
        <v>0.73479563223755373</v>
      </c>
      <c r="F58" s="7">
        <f>Table2[[#This Row],[SAR_trunk (mW/kg)]]*10^3/Table2[[#This Row],[Input Power (mW)]]</f>
        <v>2.2049863168441854</v>
      </c>
      <c r="G58" s="7">
        <f>Table2[[#This Row],[psSAR10g_eyes (mW/kg)]]*10^3/Table2[[#This Row],[Input Power (mW)]]</f>
        <v>11.130891576944407</v>
      </c>
      <c r="H58" s="7">
        <f>Table2[[#This Row],[psSAR10g_skin (mW/kg)]]*10^3/Table2[[#This Row],[Input Power (mW)]]</f>
        <v>50.61909893619481</v>
      </c>
      <c r="I58" s="7">
        <f>Table2[[#This Row],[psSAR10g_brain (mW/kg)]]*10^3/Table2[[#This Row],[Input Power (mW)]]</f>
        <v>9.3515916883514816</v>
      </c>
      <c r="J58" s="7">
        <f>Table2[[#This Row],[SAR_brain (mW/kg)]]*10^3/Table2[[#This Row],[Input Power (mW)]]</f>
        <v>0.11120918175333969</v>
      </c>
      <c r="L58" s="11"/>
    </row>
    <row r="59" spans="1:12" ht="15.75" customHeight="1" x14ac:dyDescent="0.35">
      <c r="A59" s="4">
        <v>5800</v>
      </c>
      <c r="B59" s="4" t="s">
        <v>19</v>
      </c>
      <c r="C59" s="4">
        <v>1</v>
      </c>
      <c r="D59" s="8">
        <f>Table2[[#This Row],[SAR_wholebody (mW/kg)]]*10^3/Table2[[#This Row],[Input Power (mW)]]</f>
        <v>3.049543008236796</v>
      </c>
      <c r="E59" s="8">
        <f>Table2[[#This Row],[SAR_head (mW/kg)]]*10^3/Table2[[#This Row],[Input Power (mW)]]</f>
        <v>0.60303855930449457</v>
      </c>
      <c r="F59" s="8">
        <f>Table2[[#This Row],[SAR_trunk (mW/kg)]]*10^3/Table2[[#This Row],[Input Power (mW)]]</f>
        <v>2.1342829491409261</v>
      </c>
      <c r="G59" s="8">
        <f>Table2[[#This Row],[psSAR10g_eyes (mW/kg)]]*10^3/Table2[[#This Row],[Input Power (mW)]]</f>
        <v>7.7243428491896671</v>
      </c>
      <c r="H59" s="8">
        <f>Table2[[#This Row],[psSAR10g_skin (mW/kg)]]*10^3/Table2[[#This Row],[Input Power (mW)]]</f>
        <v>86.546915762542596</v>
      </c>
      <c r="I59" s="8">
        <f>Table2[[#This Row],[psSAR10g_brain (mW/kg)]]*10^3/Table2[[#This Row],[Input Power (mW)]]</f>
        <v>7.7243428491896671</v>
      </c>
      <c r="J59" s="8">
        <f>Table2[[#This Row],[SAR_brain (mW/kg)]]*10^3/Table2[[#This Row],[Input Power (mW)]]</f>
        <v>0.10101504749116975</v>
      </c>
      <c r="L59" s="11"/>
    </row>
    <row r="60" spans="1:12" ht="15.75" customHeight="1" x14ac:dyDescent="0.35">
      <c r="A60" s="5">
        <v>5800</v>
      </c>
      <c r="B60" s="5" t="s">
        <v>20</v>
      </c>
      <c r="C60" s="5">
        <v>1</v>
      </c>
      <c r="D60" s="9">
        <f>Table2[[#This Row],[SAR_wholebody (mW/kg)]]*10^3/Table2[[#This Row],[Input Power (mW)]]</f>
        <v>2.5590964204751478</v>
      </c>
      <c r="E60" s="9">
        <f>Table2[[#This Row],[SAR_head (mW/kg)]]*10^3/Table2[[#This Row],[Input Power (mW)]]</f>
        <v>0.94092739129396474</v>
      </c>
      <c r="F60" s="9">
        <f>Table2[[#This Row],[SAR_trunk (mW/kg)]]*10^3/Table2[[#This Row],[Input Power (mW)]]</f>
        <v>1.851874803208426</v>
      </c>
      <c r="G60" s="9">
        <f>Table2[[#This Row],[psSAR10g_eyes (mW/kg)]]*10^3/Table2[[#This Row],[Input Power (mW)]]</f>
        <v>23.468332019536664</v>
      </c>
      <c r="H60" s="9">
        <f>Table2[[#This Row],[psSAR10g_skin (mW/kg)]]*10^3/Table2[[#This Row],[Input Power (mW)]]</f>
        <v>41.216865101531667</v>
      </c>
      <c r="I60" s="9">
        <f>Table2[[#This Row],[psSAR10g_brain (mW/kg)]]*10^3/Table2[[#This Row],[Input Power (mW)]]</f>
        <v>18.860342254380559</v>
      </c>
      <c r="J60" s="9">
        <f>Table2[[#This Row],[SAR_brain (mW/kg)]]*10^3/Table2[[#This Row],[Input Power (mW)]]</f>
        <v>0.18585934455373185</v>
      </c>
      <c r="L60" s="11"/>
    </row>
    <row r="61" spans="1:12" ht="15.75" customHeight="1" x14ac:dyDescent="0.35">
      <c r="A61" s="4">
        <v>5800</v>
      </c>
      <c r="B61" s="4" t="s">
        <v>21</v>
      </c>
      <c r="C61" s="4">
        <v>1</v>
      </c>
      <c r="D61" s="8">
        <f>Table2[[#This Row],[SAR_wholebody (mW/kg)]]*10^3/Table2[[#This Row],[Input Power (mW)]]</f>
        <v>2.4272951522430741</v>
      </c>
      <c r="E61" s="8">
        <f>Table2[[#This Row],[SAR_head (mW/kg)]]*10^3/Table2[[#This Row],[Input Power (mW)]]</f>
        <v>0.51003173810593527</v>
      </c>
      <c r="F61" s="8">
        <f>Table2[[#This Row],[SAR_trunk (mW/kg)]]*10^3/Table2[[#This Row],[Input Power (mW)]]</f>
        <v>1.5722638938362687</v>
      </c>
      <c r="G61" s="8">
        <f>Table2[[#This Row],[psSAR10g_eyes (mW/kg)]]*10^3/Table2[[#This Row],[Input Power (mW)]]</f>
        <v>10.076729696189352</v>
      </c>
      <c r="H61" s="8">
        <f>Table2[[#This Row],[psSAR10g_skin (mW/kg)]]*10^3/Table2[[#This Row],[Input Power (mW)]]</f>
        <v>74.625166734769067</v>
      </c>
      <c r="I61" s="8">
        <f>Table2[[#This Row],[psSAR10g_brain (mW/kg)]]*10^3/Table2[[#This Row],[Input Power (mW)]]</f>
        <v>8.8325211826325187</v>
      </c>
      <c r="J61" s="8">
        <f>Table2[[#This Row],[SAR_brain (mW/kg)]]*10^3/Table2[[#This Row],[Input Power (mW)]]</f>
        <v>6.4311441337209951E-2</v>
      </c>
      <c r="L61" s="11"/>
    </row>
    <row r="62" spans="1:12" ht="15.75" customHeight="1" x14ac:dyDescent="0.35">
      <c r="A62" s="5">
        <v>5800</v>
      </c>
      <c r="B62" s="5" t="s">
        <v>22</v>
      </c>
      <c r="C62" s="5">
        <v>1</v>
      </c>
      <c r="D62" s="9">
        <f>Table2[[#This Row],[SAR_wholebody (mW/kg)]]*10^3/Table2[[#This Row],[Input Power (mW)]]</f>
        <v>2.9392891473130556</v>
      </c>
      <c r="E62" s="9">
        <f>Table2[[#This Row],[SAR_head (mW/kg)]]*10^3/Table2[[#This Row],[Input Power (mW)]]</f>
        <v>0.59822334911648711</v>
      </c>
      <c r="F62" s="9">
        <f>Table2[[#This Row],[SAR_trunk (mW/kg)]]*10^3/Table2[[#This Row],[Input Power (mW)]]</f>
        <v>2.2031899259840184</v>
      </c>
      <c r="G62" s="9">
        <f>Table2[[#This Row],[psSAR10g_eyes (mW/kg)]]*10^3/Table2[[#This Row],[Input Power (mW)]]</f>
        <v>8.10942969343124</v>
      </c>
      <c r="H62" s="9">
        <f>Table2[[#This Row],[psSAR10g_skin (mW/kg)]]*10^3/Table2[[#This Row],[Input Power (mW)]]</f>
        <v>57.776833128763705</v>
      </c>
      <c r="I62" s="9">
        <f>Table2[[#This Row],[psSAR10g_brain (mW/kg)]]*10^3/Table2[[#This Row],[Input Power (mW)]]</f>
        <v>6.9898119375141849</v>
      </c>
      <c r="J62" s="9">
        <f>Table2[[#This Row],[SAR_brain (mW/kg)]]*10^3/Table2[[#This Row],[Input Power (mW)]]</f>
        <v>9.1340034706493309E-2</v>
      </c>
      <c r="L62" s="11"/>
    </row>
    <row r="63" spans="1:12" ht="15.75" customHeight="1" x14ac:dyDescent="0.35">
      <c r="A63" s="4">
        <v>5800</v>
      </c>
      <c r="B63" s="4" t="s">
        <v>23</v>
      </c>
      <c r="C63" s="4">
        <v>1</v>
      </c>
      <c r="D63" s="8">
        <f>Table2[[#This Row],[SAR_wholebody (mW/kg)]]*10^3/Table2[[#This Row],[Input Power (mW)]]</f>
        <v>3.6538111268643707</v>
      </c>
      <c r="E63" s="8">
        <f>Table2[[#This Row],[SAR_head (mW/kg)]]*10^3/Table2[[#This Row],[Input Power (mW)]]</f>
        <v>0.74171040103267039</v>
      </c>
      <c r="F63" s="8">
        <f>Table2[[#This Row],[SAR_trunk (mW/kg)]]*10^3/Table2[[#This Row],[Input Power (mW)]]</f>
        <v>2.552247396309463</v>
      </c>
      <c r="G63" s="8">
        <f>Table2[[#This Row],[psSAR10g_eyes (mW/kg)]]*10^3/Table2[[#This Row],[Input Power (mW)]]</f>
        <v>7.8307553231688702</v>
      </c>
      <c r="H63" s="8">
        <f>Table2[[#This Row],[psSAR10g_skin (mW/kg)]]*10^3/Table2[[#This Row],[Input Power (mW)]]</f>
        <v>66.675979458623701</v>
      </c>
      <c r="I63" s="8">
        <f>Table2[[#This Row],[psSAR10g_brain (mW/kg)]]*10^3/Table2[[#This Row],[Input Power (mW)]]</f>
        <v>7.8049947545770184</v>
      </c>
      <c r="J63" s="8">
        <f>Table2[[#This Row],[SAR_brain (mW/kg)]]*10^3/Table2[[#This Row],[Input Power (mW)]]</f>
        <v>0.12423960448817516</v>
      </c>
      <c r="L63" s="11"/>
    </row>
    <row r="64" spans="1:12" ht="15.75" customHeight="1" x14ac:dyDescent="0.35">
      <c r="A64" s="5">
        <v>5800</v>
      </c>
      <c r="B64" s="5" t="s">
        <v>24</v>
      </c>
      <c r="C64" s="5">
        <v>1</v>
      </c>
      <c r="D64" s="9">
        <f>Table2[[#This Row],[SAR_wholebody (mW/kg)]]*10^3/Table2[[#This Row],[Input Power (mW)]]</f>
        <v>3.1468997789749813</v>
      </c>
      <c r="E64" s="9">
        <f>Table2[[#This Row],[SAR_head (mW/kg)]]*10^3/Table2[[#This Row],[Input Power (mW)]]</f>
        <v>1.3553697674822798</v>
      </c>
      <c r="F64" s="9">
        <f>Table2[[#This Row],[SAR_trunk (mW/kg)]]*10^3/Table2[[#This Row],[Input Power (mW)]]</f>
        <v>2.3018203625266112</v>
      </c>
      <c r="G64" s="9">
        <f>Table2[[#This Row],[psSAR10g_eyes (mW/kg)]]*10^3/Table2[[#This Row],[Input Power (mW)]]</f>
        <v>30.600898876680926</v>
      </c>
      <c r="H64" s="9">
        <f>Table2[[#This Row],[psSAR10g_skin (mW/kg)]]*10^3/Table2[[#This Row],[Input Power (mW)]]</f>
        <v>91.546626962818323</v>
      </c>
      <c r="I64" s="9">
        <f>Table2[[#This Row],[psSAR10g_brain (mW/kg)]]*10^3/Table2[[#This Row],[Input Power (mW)]]</f>
        <v>27.776817105841669</v>
      </c>
      <c r="J64" s="9">
        <f>Table2[[#This Row],[SAR_brain (mW/kg)]]*10^3/Table2[[#This Row],[Input Power (mW)]]</f>
        <v>0.23523841421397224</v>
      </c>
      <c r="L64" s="11"/>
    </row>
    <row r="65" spans="1:12" ht="15.75" customHeight="1" thickBot="1" x14ac:dyDescent="0.4">
      <c r="A65" s="6">
        <v>5800</v>
      </c>
      <c r="B65" s="6" t="s">
        <v>25</v>
      </c>
      <c r="C65" s="6">
        <v>1</v>
      </c>
      <c r="D65" s="10">
        <f>Table2[[#This Row],[SAR_wholebody (mW/kg)]]*10^3/Table2[[#This Row],[Input Power (mW)]]</f>
        <v>3.2507230776273883</v>
      </c>
      <c r="E65" s="10">
        <f>Table2[[#This Row],[SAR_head (mW/kg)]]*10^3/Table2[[#This Row],[Input Power (mW)]]</f>
        <v>0.93566711637352029</v>
      </c>
      <c r="F65" s="10">
        <f>Table2[[#This Row],[SAR_trunk (mW/kg)]]*10^3/Table2[[#This Row],[Input Power (mW)]]</f>
        <v>2.2496060226237407</v>
      </c>
      <c r="G65" s="10">
        <f>Table2[[#This Row],[psSAR10g_eyes (mW/kg)]]*10^3/Table2[[#This Row],[Input Power (mW)]]</f>
        <v>16.181729898022443</v>
      </c>
      <c r="H65" s="10">
        <f>Table2[[#This Row],[psSAR10g_skin (mW/kg)]]*10^3/Table2[[#This Row],[Input Power (mW)]]</f>
        <v>61.228471681822036</v>
      </c>
      <c r="I65" s="10">
        <f>Table2[[#This Row],[psSAR10g_brain (mW/kg)]]*10^3/Table2[[#This Row],[Input Power (mW)]]</f>
        <v>15.27504420164</v>
      </c>
      <c r="J65" s="10">
        <f>Table2[[#This Row],[SAR_brain (mW/kg)]]*10^3/Table2[[#This Row],[Input Power (mW)]]</f>
        <v>0.16612940622461206</v>
      </c>
      <c r="L65" s="1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zoomScale="75" zoomScaleNormal="248" workbookViewId="0">
      <selection activeCell="F67" sqref="F67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24.8164062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26</v>
      </c>
      <c r="C2" s="3">
        <v>267</v>
      </c>
      <c r="D2" s="7">
        <v>8.0259040280878899</v>
      </c>
      <c r="E2" s="7">
        <v>83.863036275664598</v>
      </c>
      <c r="F2" s="7">
        <v>2.1702266046234899</v>
      </c>
      <c r="G2" s="7">
        <v>770.74183006769294</v>
      </c>
      <c r="H2" s="7">
        <v>1101.58726795846</v>
      </c>
      <c r="I2" s="7">
        <v>1101.58726795846</v>
      </c>
      <c r="J2" s="7">
        <v>15.965562659065801</v>
      </c>
    </row>
    <row r="3" spans="1:10" ht="15.75" customHeight="1" x14ac:dyDescent="0.35">
      <c r="A3" s="4">
        <v>700</v>
      </c>
      <c r="B3" s="4" t="s">
        <v>27</v>
      </c>
      <c r="C3" s="4">
        <v>267</v>
      </c>
      <c r="D3" s="8">
        <v>8.0024759420938096</v>
      </c>
      <c r="E3" s="8">
        <v>84.777496354743406</v>
      </c>
      <c r="F3" s="8">
        <v>2.4655909968228999</v>
      </c>
      <c r="G3" s="8">
        <v>831.32393799879503</v>
      </c>
      <c r="H3" s="8">
        <v>955.35991597652298</v>
      </c>
      <c r="I3" s="8">
        <v>855.34208164033498</v>
      </c>
      <c r="J3" s="8">
        <v>19.4258814815195</v>
      </c>
    </row>
    <row r="4" spans="1:10" ht="15.75" customHeight="1" x14ac:dyDescent="0.35">
      <c r="A4" s="5">
        <v>700</v>
      </c>
      <c r="B4" s="5" t="s">
        <v>28</v>
      </c>
      <c r="C4" s="5">
        <v>267</v>
      </c>
      <c r="D4" s="9">
        <v>7.6484129364651299</v>
      </c>
      <c r="E4" s="9">
        <v>76.982186212144299</v>
      </c>
      <c r="F4" s="9">
        <v>1.72043827694605</v>
      </c>
      <c r="G4" s="9">
        <v>717.94819254117203</v>
      </c>
      <c r="H4" s="9">
        <v>935.69153754449599</v>
      </c>
      <c r="I4" s="9">
        <v>725.02490384569398</v>
      </c>
      <c r="J4" s="9">
        <v>11.7441032431827</v>
      </c>
    </row>
    <row r="5" spans="1:10" ht="15.75" customHeight="1" x14ac:dyDescent="0.35">
      <c r="A5" s="4">
        <v>700</v>
      </c>
      <c r="B5" s="4" t="s">
        <v>29</v>
      </c>
      <c r="C5" s="4">
        <v>267</v>
      </c>
      <c r="D5" s="8">
        <v>5.25098236204754</v>
      </c>
      <c r="E5" s="8">
        <v>53.341832109452199</v>
      </c>
      <c r="F5" s="8">
        <v>1.5872150440675099</v>
      </c>
      <c r="G5" s="8">
        <v>173.79413770773999</v>
      </c>
      <c r="H5" s="8">
        <v>349.34327617904398</v>
      </c>
      <c r="I5" s="8">
        <v>260.86631829131699</v>
      </c>
      <c r="J5" s="8">
        <v>9.1849051675727988</v>
      </c>
    </row>
    <row r="6" spans="1:10" ht="15.75" customHeight="1" x14ac:dyDescent="0.35">
      <c r="A6" s="5">
        <v>700</v>
      </c>
      <c r="B6" s="5" t="s">
        <v>30</v>
      </c>
      <c r="C6" s="5">
        <v>267</v>
      </c>
      <c r="D6" s="9">
        <v>5.1834660533233903</v>
      </c>
      <c r="E6" s="9">
        <v>51.413526499527897</v>
      </c>
      <c r="F6" s="9">
        <v>2.2598817812491201</v>
      </c>
      <c r="G6" s="9">
        <v>208.05659257287101</v>
      </c>
      <c r="H6" s="9">
        <v>334.04042506934098</v>
      </c>
      <c r="I6" s="9">
        <v>293.46115479775199</v>
      </c>
      <c r="J6" s="9">
        <v>11.0205046739772</v>
      </c>
    </row>
    <row r="7" spans="1:10" ht="15.75" customHeight="1" thickBot="1" x14ac:dyDescent="0.4">
      <c r="A7" s="6">
        <v>700</v>
      </c>
      <c r="B7" s="6" t="s">
        <v>31</v>
      </c>
      <c r="C7" s="6">
        <v>267</v>
      </c>
      <c r="D7" s="10">
        <v>5.5013545972159497</v>
      </c>
      <c r="E7" s="10">
        <v>54.1940283518718</v>
      </c>
      <c r="F7" s="10">
        <v>1.1734908724455699</v>
      </c>
      <c r="G7" s="10">
        <v>141.54101424735001</v>
      </c>
      <c r="H7" s="10">
        <v>354.41602452208002</v>
      </c>
      <c r="I7" s="10">
        <v>215.15227901033799</v>
      </c>
      <c r="J7" s="10">
        <v>7.8348162396672008</v>
      </c>
    </row>
    <row r="8" spans="1:10" ht="15.75" customHeight="1" x14ac:dyDescent="0.35">
      <c r="A8" s="3">
        <v>835</v>
      </c>
      <c r="B8" s="3" t="s">
        <v>26</v>
      </c>
      <c r="C8" s="3">
        <v>228</v>
      </c>
      <c r="D8" s="7">
        <v>8.2026677532692691</v>
      </c>
      <c r="E8" s="7">
        <v>83.448352056892006</v>
      </c>
      <c r="F8" s="7">
        <v>1.44733770124774</v>
      </c>
      <c r="G8" s="7">
        <v>835.99873626583201</v>
      </c>
      <c r="H8" s="7">
        <v>1407.64768668185</v>
      </c>
      <c r="I8" s="7">
        <v>1407.64768668185</v>
      </c>
      <c r="J8" s="7">
        <v>18.166987522996099</v>
      </c>
    </row>
    <row r="9" spans="1:10" ht="15.75" customHeight="1" x14ac:dyDescent="0.35">
      <c r="A9" s="4">
        <v>835</v>
      </c>
      <c r="B9" s="4" t="s">
        <v>27</v>
      </c>
      <c r="C9" s="4">
        <v>228</v>
      </c>
      <c r="D9" s="8">
        <v>8.0885250443094101</v>
      </c>
      <c r="E9" s="8">
        <v>82.461280581287895</v>
      </c>
      <c r="F9" s="8">
        <v>1.95618516899815</v>
      </c>
      <c r="G9" s="8">
        <v>764.62837245408002</v>
      </c>
      <c r="H9" s="8">
        <v>1215.7365527182801</v>
      </c>
      <c r="I9" s="8">
        <v>1124.63022938108</v>
      </c>
      <c r="J9" s="8">
        <v>20.655906945891598</v>
      </c>
    </row>
    <row r="10" spans="1:10" ht="15.75" customHeight="1" x14ac:dyDescent="0.35">
      <c r="A10" s="5">
        <v>835</v>
      </c>
      <c r="B10" s="5" t="s">
        <v>28</v>
      </c>
      <c r="C10" s="5">
        <v>228</v>
      </c>
      <c r="D10" s="9">
        <v>7.8197171818959799</v>
      </c>
      <c r="E10" s="9">
        <v>83.434452111883203</v>
      </c>
      <c r="F10" s="9">
        <v>1.2118766638752601</v>
      </c>
      <c r="G10" s="9">
        <v>910.615773984768</v>
      </c>
      <c r="H10" s="9">
        <v>1230.4983027578301</v>
      </c>
      <c r="I10" s="9">
        <v>1014.25545430311</v>
      </c>
      <c r="J10" s="9">
        <v>14.169152967675901</v>
      </c>
    </row>
    <row r="11" spans="1:10" ht="15.75" customHeight="1" x14ac:dyDescent="0.35">
      <c r="A11" s="4">
        <v>835</v>
      </c>
      <c r="B11" s="4" t="s">
        <v>29</v>
      </c>
      <c r="C11" s="4">
        <v>228</v>
      </c>
      <c r="D11" s="8">
        <v>4.8213237235819904</v>
      </c>
      <c r="E11" s="8">
        <v>51.093448308084902</v>
      </c>
      <c r="F11" s="8">
        <v>2.46646838623013</v>
      </c>
      <c r="G11" s="8">
        <v>109.764533130031</v>
      </c>
      <c r="H11" s="8">
        <v>204.81923487210599</v>
      </c>
      <c r="I11" s="8">
        <v>196.235909249944</v>
      </c>
      <c r="J11" s="8">
        <v>10.3755249581192</v>
      </c>
    </row>
    <row r="12" spans="1:10" ht="15.75" customHeight="1" x14ac:dyDescent="0.35">
      <c r="A12" s="5">
        <v>835</v>
      </c>
      <c r="B12" s="5" t="s">
        <v>30</v>
      </c>
      <c r="C12" s="5">
        <v>228</v>
      </c>
      <c r="D12" s="9">
        <v>4.5858921088180598</v>
      </c>
      <c r="E12" s="9">
        <v>48.402616996768401</v>
      </c>
      <c r="F12" s="9">
        <v>3.8438600674041701</v>
      </c>
      <c r="G12" s="9">
        <v>142.60783081048001</v>
      </c>
      <c r="H12" s="9">
        <v>205.48310114951201</v>
      </c>
      <c r="I12" s="9">
        <v>187.07761245637801</v>
      </c>
      <c r="J12" s="9">
        <v>11.5458955256832</v>
      </c>
    </row>
    <row r="13" spans="1:10" ht="15.75" customHeight="1" thickBot="1" x14ac:dyDescent="0.4">
      <c r="A13" s="6">
        <v>835</v>
      </c>
      <c r="B13" s="6" t="s">
        <v>31</v>
      </c>
      <c r="C13" s="6">
        <v>228</v>
      </c>
      <c r="D13" s="10">
        <v>5.0976628386721696</v>
      </c>
      <c r="E13" s="10">
        <v>54.310141868414803</v>
      </c>
      <c r="F13" s="10">
        <v>1.5947419485294301</v>
      </c>
      <c r="G13" s="10">
        <v>91.787423398603394</v>
      </c>
      <c r="H13" s="10">
        <v>200.60618860596199</v>
      </c>
      <c r="I13" s="10">
        <v>197.629146614013</v>
      </c>
      <c r="J13" s="10">
        <v>9.5328057787028992</v>
      </c>
    </row>
    <row r="14" spans="1:10" ht="15.75" customHeight="1" x14ac:dyDescent="0.35">
      <c r="A14" s="3">
        <v>1450</v>
      </c>
      <c r="B14" s="3" t="s">
        <v>26</v>
      </c>
      <c r="C14" s="3">
        <v>106</v>
      </c>
      <c r="D14" s="7">
        <v>4.2400681130918603</v>
      </c>
      <c r="E14" s="7">
        <v>39.786139287431602</v>
      </c>
      <c r="F14" s="7">
        <v>0.199029364032421</v>
      </c>
      <c r="G14" s="7">
        <v>223.438608158927</v>
      </c>
      <c r="H14" s="7">
        <v>818.99383575164404</v>
      </c>
      <c r="I14" s="7">
        <v>818.99383575164404</v>
      </c>
      <c r="J14" s="7">
        <v>10.247698186843301</v>
      </c>
    </row>
    <row r="15" spans="1:10" ht="15.75" customHeight="1" x14ac:dyDescent="0.35">
      <c r="A15" s="4">
        <v>1450</v>
      </c>
      <c r="B15" s="4" t="s">
        <v>27</v>
      </c>
      <c r="C15" s="4">
        <v>106</v>
      </c>
      <c r="D15" s="8">
        <v>4.1891162625332496</v>
      </c>
      <c r="E15" s="8">
        <v>43.629068732946898</v>
      </c>
      <c r="F15" s="8">
        <v>0.18591293862698299</v>
      </c>
      <c r="G15" s="8">
        <v>275.42320813260102</v>
      </c>
      <c r="H15" s="8">
        <v>773.43426327262102</v>
      </c>
      <c r="I15" s="8">
        <v>773.43426327262102</v>
      </c>
      <c r="J15" s="8">
        <v>9.8768198266147991</v>
      </c>
    </row>
    <row r="16" spans="1:10" ht="15.75" customHeight="1" x14ac:dyDescent="0.35">
      <c r="A16" s="5">
        <v>1450</v>
      </c>
      <c r="B16" s="5" t="s">
        <v>28</v>
      </c>
      <c r="C16" s="5">
        <v>106</v>
      </c>
      <c r="D16" s="9">
        <v>4.3404136099706996</v>
      </c>
      <c r="E16" s="9">
        <v>39.2292900387665</v>
      </c>
      <c r="F16" s="9">
        <v>0.18628624117952</v>
      </c>
      <c r="G16" s="9">
        <v>201.21150447074999</v>
      </c>
      <c r="H16" s="9">
        <v>914.60005701117404</v>
      </c>
      <c r="I16" s="9">
        <v>914.60005701117404</v>
      </c>
      <c r="J16" s="9">
        <v>10.739574255453599</v>
      </c>
    </row>
    <row r="17" spans="1:10" ht="15.75" customHeight="1" x14ac:dyDescent="0.35">
      <c r="A17" s="4">
        <v>1450</v>
      </c>
      <c r="B17" s="4" t="s">
        <v>29</v>
      </c>
      <c r="C17" s="4">
        <v>106</v>
      </c>
      <c r="D17" s="8">
        <v>2.4703855410631701</v>
      </c>
      <c r="E17" s="8">
        <v>25.1174596465194</v>
      </c>
      <c r="F17" s="8">
        <v>0.169510066612025</v>
      </c>
      <c r="G17" s="8">
        <v>87.989264099650597</v>
      </c>
      <c r="H17" s="8">
        <v>406.74302147044</v>
      </c>
      <c r="I17" s="8">
        <v>302.77682639051199</v>
      </c>
      <c r="J17" s="8">
        <v>6.2864000041038999</v>
      </c>
    </row>
    <row r="18" spans="1:10" ht="15.75" customHeight="1" x14ac:dyDescent="0.35">
      <c r="A18" s="5">
        <v>1450</v>
      </c>
      <c r="B18" s="5" t="s">
        <v>30</v>
      </c>
      <c r="C18" s="5">
        <v>106</v>
      </c>
      <c r="D18" s="9">
        <v>2.4328415009021298</v>
      </c>
      <c r="E18" s="9">
        <v>24.211358477966801</v>
      </c>
      <c r="F18" s="9">
        <v>0.296576972134033</v>
      </c>
      <c r="G18" s="9">
        <v>109.859053815644</v>
      </c>
      <c r="H18" s="9">
        <v>362.96486232054798</v>
      </c>
      <c r="I18" s="9">
        <v>302.95771007555601</v>
      </c>
      <c r="J18" s="9">
        <v>6.6696373550188</v>
      </c>
    </row>
    <row r="19" spans="1:10" ht="15.75" customHeight="1" thickBot="1" x14ac:dyDescent="0.4">
      <c r="A19" s="6">
        <v>1450</v>
      </c>
      <c r="B19" s="6" t="s">
        <v>31</v>
      </c>
      <c r="C19" s="6">
        <v>106</v>
      </c>
      <c r="D19" s="10">
        <v>2.61048835097897</v>
      </c>
      <c r="E19" s="10">
        <v>25.7558964265756</v>
      </c>
      <c r="F19" s="10">
        <v>0.12167290159227601</v>
      </c>
      <c r="G19" s="10">
        <v>71.731415528440493</v>
      </c>
      <c r="H19" s="10">
        <v>475.19043399502198</v>
      </c>
      <c r="I19" s="10">
        <v>288.974843586475</v>
      </c>
      <c r="J19" s="10">
        <v>5.9774340121367002</v>
      </c>
    </row>
    <row r="20" spans="1:10" ht="15.75" customHeight="1" x14ac:dyDescent="0.35">
      <c r="A20" s="3">
        <v>2140</v>
      </c>
      <c r="B20" s="3" t="s">
        <v>26</v>
      </c>
      <c r="C20" s="3">
        <v>78</v>
      </c>
      <c r="D20" s="7">
        <v>2.7773708397858101</v>
      </c>
      <c r="E20" s="7">
        <v>27.923285138448598</v>
      </c>
      <c r="F20" s="7">
        <v>5.3134733293952997E-2</v>
      </c>
      <c r="G20" s="7">
        <v>149.088015996151</v>
      </c>
      <c r="H20" s="7">
        <v>786.72168282272105</v>
      </c>
      <c r="I20" s="7">
        <v>472.96609374977498</v>
      </c>
      <c r="J20" s="7">
        <v>3.4741822171698002</v>
      </c>
    </row>
    <row r="21" spans="1:10" ht="15.75" customHeight="1" x14ac:dyDescent="0.35">
      <c r="A21" s="4">
        <v>2140</v>
      </c>
      <c r="B21" s="4" t="s">
        <v>27</v>
      </c>
      <c r="C21" s="4">
        <v>78</v>
      </c>
      <c r="D21" s="8">
        <v>2.736470503224</v>
      </c>
      <c r="E21" s="8">
        <v>28.219246327139299</v>
      </c>
      <c r="F21" s="8">
        <v>9.5430531583654402E-2</v>
      </c>
      <c r="G21" s="8">
        <v>153.81225584342101</v>
      </c>
      <c r="H21" s="8">
        <v>757.53451148994304</v>
      </c>
      <c r="I21" s="8">
        <v>425.643392161897</v>
      </c>
      <c r="J21" s="8">
        <v>3.4475072628446997</v>
      </c>
    </row>
    <row r="22" spans="1:10" ht="15.75" customHeight="1" x14ac:dyDescent="0.35">
      <c r="A22" s="5">
        <v>2140</v>
      </c>
      <c r="B22" s="5" t="s">
        <v>28</v>
      </c>
      <c r="C22" s="5">
        <v>78</v>
      </c>
      <c r="D22" s="9">
        <v>2.8648038900844002</v>
      </c>
      <c r="E22" s="9">
        <v>31.022629547141399</v>
      </c>
      <c r="F22" s="9">
        <v>5.0323690707001899E-2</v>
      </c>
      <c r="G22" s="9">
        <v>133.55932080301699</v>
      </c>
      <c r="H22" s="9">
        <v>860.02395636578399</v>
      </c>
      <c r="I22" s="9">
        <v>480.38990349872802</v>
      </c>
      <c r="J22" s="9">
        <v>3.5004216050195001</v>
      </c>
    </row>
    <row r="23" spans="1:10" ht="15.75" customHeight="1" x14ac:dyDescent="0.35">
      <c r="A23" s="4">
        <v>2140</v>
      </c>
      <c r="B23" s="4" t="s">
        <v>29</v>
      </c>
      <c r="C23" s="4">
        <v>78</v>
      </c>
      <c r="D23" s="8">
        <v>1.53460843492385</v>
      </c>
      <c r="E23" s="8">
        <v>17.857788760660299</v>
      </c>
      <c r="F23" s="8">
        <v>0.19366363025942501</v>
      </c>
      <c r="G23" s="8">
        <v>57.666728244709503</v>
      </c>
      <c r="H23" s="8">
        <v>476.67023060133499</v>
      </c>
      <c r="I23" s="8">
        <v>128.996086420144</v>
      </c>
      <c r="J23" s="8">
        <v>2.3524108974591003</v>
      </c>
    </row>
    <row r="24" spans="1:10" ht="15.75" customHeight="1" x14ac:dyDescent="0.35">
      <c r="A24" s="5">
        <v>2140</v>
      </c>
      <c r="B24" s="5" t="s">
        <v>30</v>
      </c>
      <c r="C24" s="5">
        <v>78</v>
      </c>
      <c r="D24" s="9">
        <v>1.48445294058301</v>
      </c>
      <c r="E24" s="9">
        <v>16.120774576068499</v>
      </c>
      <c r="F24" s="9">
        <v>0.28691938741942202</v>
      </c>
      <c r="G24" s="9">
        <v>63.241063770365997</v>
      </c>
      <c r="H24" s="9">
        <v>439.76996603619801</v>
      </c>
      <c r="I24" s="9">
        <v>129.58387745512599</v>
      </c>
      <c r="J24" s="9">
        <v>2.5047035926497001</v>
      </c>
    </row>
    <row r="25" spans="1:10" ht="15.75" customHeight="1" thickBot="1" x14ac:dyDescent="0.4">
      <c r="A25" s="6">
        <v>2140</v>
      </c>
      <c r="B25" s="6" t="s">
        <v>31</v>
      </c>
      <c r="C25" s="6">
        <v>78</v>
      </c>
      <c r="D25" s="10">
        <v>1.6297304954787499</v>
      </c>
      <c r="E25" s="10">
        <v>17.897485203709198</v>
      </c>
      <c r="F25" s="10">
        <v>0.12466904277379599</v>
      </c>
      <c r="G25" s="10">
        <v>51.364156573379397</v>
      </c>
      <c r="H25" s="10">
        <v>528.20727649606397</v>
      </c>
      <c r="I25" s="10">
        <v>135.23486794058999</v>
      </c>
      <c r="J25" s="10">
        <v>2.2218518069672002</v>
      </c>
    </row>
    <row r="26" spans="1:10" ht="15.75" customHeight="1" x14ac:dyDescent="0.35">
      <c r="A26" s="3">
        <v>2450</v>
      </c>
      <c r="B26" s="3" t="s">
        <v>26</v>
      </c>
      <c r="C26" s="3">
        <v>74</v>
      </c>
      <c r="D26" s="7">
        <v>2.42648266172941</v>
      </c>
      <c r="E26" s="7">
        <v>26.358664965012601</v>
      </c>
      <c r="F26" s="7">
        <v>4.7098905036968099E-2</v>
      </c>
      <c r="G26" s="7">
        <v>156.97372612821101</v>
      </c>
      <c r="H26" s="7">
        <v>801.36616074040103</v>
      </c>
      <c r="I26" s="7">
        <v>424.36087345646399</v>
      </c>
      <c r="J26" s="7">
        <v>2.330936847032</v>
      </c>
    </row>
    <row r="27" spans="1:10" ht="15.75" customHeight="1" x14ac:dyDescent="0.35">
      <c r="A27" s="4">
        <v>2450</v>
      </c>
      <c r="B27" s="4" t="s">
        <v>27</v>
      </c>
      <c r="C27" s="4">
        <v>74</v>
      </c>
      <c r="D27" s="8">
        <v>2.3860401433005398</v>
      </c>
      <c r="E27" s="8">
        <v>26.550923071089102</v>
      </c>
      <c r="F27" s="8">
        <v>7.0008530308401595E-2</v>
      </c>
      <c r="G27" s="8">
        <v>158.25069148871199</v>
      </c>
      <c r="H27" s="8">
        <v>721.31398308938105</v>
      </c>
      <c r="I27" s="8">
        <v>395.58648848992402</v>
      </c>
      <c r="J27" s="8">
        <v>2.3202666244976</v>
      </c>
    </row>
    <row r="28" spans="1:10" ht="15.75" customHeight="1" x14ac:dyDescent="0.35">
      <c r="A28" s="5">
        <v>2450</v>
      </c>
      <c r="B28" s="5" t="s">
        <v>28</v>
      </c>
      <c r="C28" s="5">
        <v>74</v>
      </c>
      <c r="D28" s="9">
        <v>2.5217852108498899</v>
      </c>
      <c r="E28" s="9">
        <v>23.918343038606299</v>
      </c>
      <c r="F28" s="9">
        <v>3.6294643777347202E-2</v>
      </c>
      <c r="G28" s="9">
        <v>116.506325616179</v>
      </c>
      <c r="H28" s="9">
        <v>911.63020371669495</v>
      </c>
      <c r="I28" s="9">
        <v>421.73561534512697</v>
      </c>
      <c r="J28" s="9">
        <v>2.3263609853084</v>
      </c>
    </row>
    <row r="29" spans="1:10" ht="15.75" customHeight="1" x14ac:dyDescent="0.35">
      <c r="A29" s="4">
        <v>2450</v>
      </c>
      <c r="B29" s="4" t="s">
        <v>29</v>
      </c>
      <c r="C29" s="4">
        <v>74</v>
      </c>
      <c r="D29" s="8">
        <v>1.3437587953685799</v>
      </c>
      <c r="E29" s="8">
        <v>13.5302780425392</v>
      </c>
      <c r="F29" s="8">
        <v>0.116552209591578</v>
      </c>
      <c r="G29" s="8">
        <v>41.4525001931124</v>
      </c>
      <c r="H29" s="8">
        <v>484.097095024483</v>
      </c>
      <c r="I29" s="8">
        <v>131.45126954909699</v>
      </c>
      <c r="J29" s="8">
        <v>1.9463574525794001</v>
      </c>
    </row>
    <row r="30" spans="1:10" ht="15.75" customHeight="1" x14ac:dyDescent="0.35">
      <c r="A30" s="5">
        <v>2450</v>
      </c>
      <c r="B30" s="5" t="s">
        <v>30</v>
      </c>
      <c r="C30" s="5">
        <v>74</v>
      </c>
      <c r="D30" s="9">
        <v>1.30294884727469</v>
      </c>
      <c r="E30" s="9">
        <v>13.647274587086001</v>
      </c>
      <c r="F30" s="9">
        <v>0.232165256546121</v>
      </c>
      <c r="G30" s="9">
        <v>42.492869169134799</v>
      </c>
      <c r="H30" s="9">
        <v>449.349593679961</v>
      </c>
      <c r="I30" s="9">
        <v>143.01619885443401</v>
      </c>
      <c r="J30" s="9">
        <v>2.1502557208045001</v>
      </c>
    </row>
    <row r="31" spans="1:10" ht="15.75" customHeight="1" thickBot="1" x14ac:dyDescent="0.4">
      <c r="A31" s="6">
        <v>2450</v>
      </c>
      <c r="B31" s="6" t="s">
        <v>31</v>
      </c>
      <c r="C31" s="6">
        <v>74</v>
      </c>
      <c r="D31" s="10">
        <v>1.4367721928839201</v>
      </c>
      <c r="E31" s="10">
        <v>15.9519322563049</v>
      </c>
      <c r="F31" s="10">
        <v>5.6023751171132702E-2</v>
      </c>
      <c r="G31" s="10">
        <v>41.086726880992003</v>
      </c>
      <c r="H31" s="10">
        <v>547.97181367429698</v>
      </c>
      <c r="I31" s="10">
        <v>128.09973900853399</v>
      </c>
      <c r="J31" s="10">
        <v>1.7400228352378</v>
      </c>
    </row>
    <row r="32" spans="1:10" ht="15.75" customHeight="1" x14ac:dyDescent="0.35">
      <c r="A32" s="3">
        <v>3500</v>
      </c>
      <c r="B32" s="3" t="s">
        <v>26</v>
      </c>
      <c r="C32" s="3">
        <v>55</v>
      </c>
      <c r="D32" s="7">
        <v>1.4286568769860499</v>
      </c>
      <c r="E32" s="7">
        <v>14.0432256682586</v>
      </c>
      <c r="F32" s="7">
        <v>2.8747140670591101E-2</v>
      </c>
      <c r="G32" s="7">
        <v>102.90659879491101</v>
      </c>
      <c r="H32" s="7">
        <v>588.58750626541701</v>
      </c>
      <c r="I32" s="7">
        <v>270.17229553202998</v>
      </c>
      <c r="J32" s="7">
        <v>0.6550857530034</v>
      </c>
    </row>
    <row r="33" spans="1:10" ht="15.75" customHeight="1" x14ac:dyDescent="0.35">
      <c r="A33" s="4">
        <v>3500</v>
      </c>
      <c r="B33" s="4" t="s">
        <v>27</v>
      </c>
      <c r="C33" s="4">
        <v>55</v>
      </c>
      <c r="D33" s="8">
        <v>1.3727782163112801</v>
      </c>
      <c r="E33" s="8">
        <v>14.6405539273523</v>
      </c>
      <c r="F33" s="8">
        <v>3.2383612335877998E-2</v>
      </c>
      <c r="G33" s="8">
        <v>92.002274926388196</v>
      </c>
      <c r="H33" s="8">
        <v>448.09650246505203</v>
      </c>
      <c r="I33" s="8">
        <v>228.99961317484801</v>
      </c>
      <c r="J33" s="8">
        <v>0.65963862546240004</v>
      </c>
    </row>
    <row r="34" spans="1:10" ht="15.75" customHeight="1" x14ac:dyDescent="0.35">
      <c r="A34" s="5">
        <v>3500</v>
      </c>
      <c r="B34" s="5" t="s">
        <v>28</v>
      </c>
      <c r="C34" s="5">
        <v>55</v>
      </c>
      <c r="D34" s="9">
        <v>1.5072549842232901</v>
      </c>
      <c r="E34" s="9">
        <v>16.0610253140174</v>
      </c>
      <c r="F34" s="9">
        <v>3.01643835164777E-2</v>
      </c>
      <c r="G34" s="9">
        <v>91.691587069995805</v>
      </c>
      <c r="H34" s="9">
        <v>707.01079078491398</v>
      </c>
      <c r="I34" s="9">
        <v>267.67483924567</v>
      </c>
      <c r="J34" s="9">
        <v>0.63431413015170002</v>
      </c>
    </row>
    <row r="35" spans="1:10" ht="15.75" customHeight="1" x14ac:dyDescent="0.35">
      <c r="A35" s="4">
        <v>3500</v>
      </c>
      <c r="B35" s="4" t="s">
        <v>29</v>
      </c>
      <c r="C35" s="4">
        <v>55</v>
      </c>
      <c r="D35" s="8">
        <v>0.85499818635235003</v>
      </c>
      <c r="E35" s="8">
        <v>9.3886345718131299</v>
      </c>
      <c r="F35" s="8">
        <v>2.2524994988041398E-2</v>
      </c>
      <c r="G35" s="8">
        <v>25.993773531607101</v>
      </c>
      <c r="H35" s="8">
        <v>382.00748062830701</v>
      </c>
      <c r="I35" s="8">
        <v>101.995511210633</v>
      </c>
      <c r="J35" s="8">
        <v>0.84323473074150002</v>
      </c>
    </row>
    <row r="36" spans="1:10" ht="15.75" customHeight="1" x14ac:dyDescent="0.35">
      <c r="A36" s="5">
        <v>3500</v>
      </c>
      <c r="B36" s="5" t="s">
        <v>30</v>
      </c>
      <c r="C36" s="5">
        <v>55</v>
      </c>
      <c r="D36" s="9">
        <v>0.85200217055397598</v>
      </c>
      <c r="E36" s="9">
        <v>9.7036011659913601</v>
      </c>
      <c r="F36" s="9">
        <v>2.5283005893920699E-2</v>
      </c>
      <c r="G36" s="9">
        <v>21.8355046274439</v>
      </c>
      <c r="H36" s="9">
        <v>339.26783509022999</v>
      </c>
      <c r="I36" s="9">
        <v>113.02944493352101</v>
      </c>
      <c r="J36" s="9">
        <v>0.91613693929319995</v>
      </c>
    </row>
    <row r="37" spans="1:10" ht="15.75" customHeight="1" thickBot="1" x14ac:dyDescent="0.4">
      <c r="A37" s="6">
        <v>3500</v>
      </c>
      <c r="B37" s="6" t="s">
        <v>31</v>
      </c>
      <c r="C37" s="6">
        <v>55</v>
      </c>
      <c r="D37" s="10">
        <v>0.89052555063939398</v>
      </c>
      <c r="E37" s="10">
        <v>9.3441525572010704</v>
      </c>
      <c r="F37" s="10">
        <v>2.59756890341739E-2</v>
      </c>
      <c r="G37" s="10">
        <v>24.777829745672999</v>
      </c>
      <c r="H37" s="10">
        <v>440.77320350893501</v>
      </c>
      <c r="I37" s="10">
        <v>90.508558291802004</v>
      </c>
      <c r="J37" s="10">
        <v>0.79213334265000002</v>
      </c>
    </row>
    <row r="38" spans="1:10" ht="15.75" customHeight="1" x14ac:dyDescent="0.35">
      <c r="A38" s="3">
        <v>5200</v>
      </c>
      <c r="B38" s="3" t="s">
        <v>26</v>
      </c>
      <c r="C38" s="3">
        <v>53</v>
      </c>
      <c r="D38" s="7">
        <v>1.08617358465172</v>
      </c>
      <c r="E38" s="7">
        <v>11.4238429692873</v>
      </c>
      <c r="F38" s="7">
        <v>4.4798012979233401E-2</v>
      </c>
      <c r="G38" s="7">
        <v>56.377861606528398</v>
      </c>
      <c r="H38" s="7">
        <v>488.00111797332698</v>
      </c>
      <c r="I38" s="7">
        <v>266.504217904705</v>
      </c>
      <c r="J38" s="7">
        <v>0.16340568818189999</v>
      </c>
    </row>
    <row r="39" spans="1:10" ht="15.75" customHeight="1" x14ac:dyDescent="0.35">
      <c r="A39" s="4">
        <v>5200</v>
      </c>
      <c r="B39" s="4" t="s">
        <v>27</v>
      </c>
      <c r="C39" s="4">
        <v>53</v>
      </c>
      <c r="D39" s="8">
        <v>1.00369395222961</v>
      </c>
      <c r="E39" s="8">
        <v>11.3803401614334</v>
      </c>
      <c r="F39" s="8">
        <v>3.8402704155440198E-2</v>
      </c>
      <c r="G39" s="8">
        <v>48.230715175569202</v>
      </c>
      <c r="H39" s="8">
        <v>354.75695131883202</v>
      </c>
      <c r="I39" s="8">
        <v>236.12497588998301</v>
      </c>
      <c r="J39" s="8">
        <v>0.17787397877229999</v>
      </c>
    </row>
    <row r="40" spans="1:10" ht="15.75" customHeight="1" x14ac:dyDescent="0.35">
      <c r="A40" s="5">
        <v>5200</v>
      </c>
      <c r="B40" s="5" t="s">
        <v>28</v>
      </c>
      <c r="C40" s="5">
        <v>53</v>
      </c>
      <c r="D40" s="9">
        <v>1.16303371728204</v>
      </c>
      <c r="E40" s="9">
        <v>10.4929853996251</v>
      </c>
      <c r="F40" s="9">
        <v>4.6807423538119397E-2</v>
      </c>
      <c r="G40" s="9">
        <v>48.923833286675197</v>
      </c>
      <c r="H40" s="9">
        <v>591.63876865120994</v>
      </c>
      <c r="I40" s="9">
        <v>267.43383926982102</v>
      </c>
      <c r="J40" s="9">
        <v>0.1379516896287</v>
      </c>
    </row>
    <row r="41" spans="1:10" ht="15.75" customHeight="1" x14ac:dyDescent="0.35">
      <c r="A41" s="4">
        <v>5200</v>
      </c>
      <c r="B41" s="4" t="s">
        <v>29</v>
      </c>
      <c r="C41" s="4">
        <v>53</v>
      </c>
      <c r="D41" s="8">
        <v>0.75027453914001097</v>
      </c>
      <c r="E41" s="8">
        <v>8.3024756565046207</v>
      </c>
      <c r="F41" s="8">
        <v>3.5654002613305598E-2</v>
      </c>
      <c r="G41" s="8">
        <v>19.384432802430901</v>
      </c>
      <c r="H41" s="8">
        <v>350.6999009278</v>
      </c>
      <c r="I41" s="8">
        <v>81.089257393381899</v>
      </c>
      <c r="J41" s="8">
        <v>0.2775718893693</v>
      </c>
    </row>
    <row r="42" spans="1:10" ht="15.75" customHeight="1" x14ac:dyDescent="0.35">
      <c r="A42" s="5">
        <v>5200</v>
      </c>
      <c r="B42" s="5" t="s">
        <v>30</v>
      </c>
      <c r="C42" s="5">
        <v>53</v>
      </c>
      <c r="D42" s="9">
        <v>0.73815301542687095</v>
      </c>
      <c r="E42" s="9">
        <v>8.5845674444916202</v>
      </c>
      <c r="F42" s="9">
        <v>3.4507826081203397E-2</v>
      </c>
      <c r="G42" s="9">
        <v>15.9323299654927</v>
      </c>
      <c r="H42" s="9">
        <v>322.35564413011002</v>
      </c>
      <c r="I42" s="9">
        <v>83.673250332571897</v>
      </c>
      <c r="J42" s="9">
        <v>0.28168356616930001</v>
      </c>
    </row>
    <row r="43" spans="1:10" ht="15.75" customHeight="1" thickBot="1" x14ac:dyDescent="0.4">
      <c r="A43" s="6">
        <v>5200</v>
      </c>
      <c r="B43" s="6" t="s">
        <v>31</v>
      </c>
      <c r="C43" s="6">
        <v>53</v>
      </c>
      <c r="D43" s="10">
        <v>0.77956411276211901</v>
      </c>
      <c r="E43" s="10">
        <v>8.4735256128878405</v>
      </c>
      <c r="F43" s="10">
        <v>3.4154351804153202E-2</v>
      </c>
      <c r="G43" s="10">
        <v>24.418909852211801</v>
      </c>
      <c r="H43" s="10">
        <v>382.99656064749001</v>
      </c>
      <c r="I43" s="10">
        <v>83.057638263208403</v>
      </c>
      <c r="J43" s="10">
        <v>0.2599543942443</v>
      </c>
    </row>
    <row r="44" spans="1:10" ht="15.75" customHeight="1" x14ac:dyDescent="0.35">
      <c r="A44" s="3">
        <v>5800</v>
      </c>
      <c r="B44" s="3" t="s">
        <v>26</v>
      </c>
      <c r="C44" s="3">
        <v>54</v>
      </c>
      <c r="D44" s="7">
        <v>1.0704623970192699</v>
      </c>
      <c r="E44" s="7">
        <v>10.606710914076301</v>
      </c>
      <c r="F44" s="7">
        <v>3.7050806078269299E-2</v>
      </c>
      <c r="G44" s="7">
        <v>38.3020456552429</v>
      </c>
      <c r="H44" s="7">
        <v>503.51912894352699</v>
      </c>
      <c r="I44" s="7">
        <v>266.82695000512399</v>
      </c>
      <c r="J44" s="7">
        <v>0.11304423812190001</v>
      </c>
    </row>
    <row r="45" spans="1:10" ht="15.75" customHeight="1" x14ac:dyDescent="0.35">
      <c r="A45" s="4">
        <v>5800</v>
      </c>
      <c r="B45" s="4" t="s">
        <v>27</v>
      </c>
      <c r="C45" s="4">
        <v>54</v>
      </c>
      <c r="D45" s="8">
        <v>0.99401883074994501</v>
      </c>
      <c r="E45" s="8">
        <v>11.1029744018005</v>
      </c>
      <c r="F45" s="8">
        <v>3.2055279437814901E-2</v>
      </c>
      <c r="G45" s="8">
        <v>37.365256203668402</v>
      </c>
      <c r="H45" s="8">
        <v>373.37279741305599</v>
      </c>
      <c r="I45" s="8">
        <v>238.38005288296</v>
      </c>
      <c r="J45" s="8">
        <v>0.13009382727829999</v>
      </c>
    </row>
    <row r="46" spans="1:10" ht="15.75" customHeight="1" x14ac:dyDescent="0.35">
      <c r="A46" s="5">
        <v>5800</v>
      </c>
      <c r="B46" s="5" t="s">
        <v>28</v>
      </c>
      <c r="C46" s="5">
        <v>54</v>
      </c>
      <c r="D46" s="9">
        <v>1.1262017331381</v>
      </c>
      <c r="E46" s="9">
        <v>10.3232262022855</v>
      </c>
      <c r="F46" s="9">
        <v>3.7009651378875998E-2</v>
      </c>
      <c r="G46" s="9">
        <v>39.791458742835502</v>
      </c>
      <c r="H46" s="9">
        <v>602.02899401085904</v>
      </c>
      <c r="I46" s="9">
        <v>268.43925771355799</v>
      </c>
      <c r="J46" s="9">
        <v>8.8645871770075671E-2</v>
      </c>
    </row>
    <row r="47" spans="1:10" ht="15.75" customHeight="1" x14ac:dyDescent="0.35">
      <c r="A47" s="4">
        <v>5800</v>
      </c>
      <c r="B47" s="4" t="s">
        <v>29</v>
      </c>
      <c r="C47" s="4">
        <v>54</v>
      </c>
      <c r="D47" s="8">
        <v>0.75604564253274797</v>
      </c>
      <c r="E47" s="8">
        <v>7.9070909905012003</v>
      </c>
      <c r="F47" s="8">
        <v>3.1152853460279201E-2</v>
      </c>
      <c r="G47" s="8">
        <v>18.180759060762799</v>
      </c>
      <c r="H47" s="8">
        <v>324.35610245409902</v>
      </c>
      <c r="I47" s="8">
        <v>73.169187241733994</v>
      </c>
      <c r="J47" s="8">
        <v>0.18116998742320001</v>
      </c>
    </row>
    <row r="48" spans="1:10" ht="15.75" customHeight="1" x14ac:dyDescent="0.35">
      <c r="A48" s="5">
        <v>5800</v>
      </c>
      <c r="B48" s="5" t="s">
        <v>30</v>
      </c>
      <c r="C48" s="5">
        <v>54</v>
      </c>
      <c r="D48" s="9">
        <v>0.75631249506418596</v>
      </c>
      <c r="E48" s="9">
        <v>8.4911776468903692</v>
      </c>
      <c r="F48" s="9">
        <v>2.8036087563898301E-2</v>
      </c>
      <c r="G48" s="9">
        <v>14.0550204044082</v>
      </c>
      <c r="H48" s="9">
        <v>311.91716865070799</v>
      </c>
      <c r="I48" s="9">
        <v>77.966067968317105</v>
      </c>
      <c r="J48" s="9">
        <v>0.1896206644142</v>
      </c>
    </row>
    <row r="49" spans="1:10" ht="15.75" customHeight="1" thickBot="1" x14ac:dyDescent="0.4">
      <c r="A49" s="6">
        <v>5800</v>
      </c>
      <c r="B49" s="6" t="s">
        <v>31</v>
      </c>
      <c r="C49" s="6">
        <v>54</v>
      </c>
      <c r="D49" s="10">
        <v>0.76743605072377097</v>
      </c>
      <c r="E49" s="10">
        <v>7.8084935011179102</v>
      </c>
      <c r="F49" s="10">
        <v>2.97097494576248E-2</v>
      </c>
      <c r="G49" s="10">
        <v>23.5860314952787</v>
      </c>
      <c r="H49" s="10">
        <v>352.32965490102401</v>
      </c>
      <c r="I49" s="10">
        <v>68.626347076781599</v>
      </c>
      <c r="J49" s="10">
        <v>0.16365522139949998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topLeftCell="D1" zoomScale="108" zoomScaleNormal="248" workbookViewId="0">
      <selection activeCell="M27" sqref="M27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22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17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26</v>
      </c>
      <c r="C2" s="3">
        <v>1</v>
      </c>
      <c r="D2" s="7">
        <f>Table3[[#This Row],[SAR_wholebody (mW/kg)]]*10^3/Table3[[#This Row],[Input Power (mW)]]</f>
        <v>30.059565648269249</v>
      </c>
      <c r="E2" s="7">
        <f>Table3[[#This Row],[SAR_head (mW/kg)]]*10^3/Table3[[#This Row],[Input Power (mW)]]</f>
        <v>314.09376882271386</v>
      </c>
      <c r="F2" s="7">
        <f>Table3[[#This Row],[SAR_trunk (mW/kg)]]*10^3/Table3[[#This Row],[Input Power (mW)]]</f>
        <v>8.1281895304250558</v>
      </c>
      <c r="G2" s="7">
        <f>Table3[[#This Row],[psSAR10g_eyes (mW/kg)]]*10^3/Table3[[#This Row],[Input Power (mW)]]</f>
        <v>2886.6735208527825</v>
      </c>
      <c r="H2" s="7">
        <f>Table3[[#This Row],[psSAR10g_skin (mW/kg)]]*10^3/Table3[[#This Row],[Input Power (mW)]]</f>
        <v>4125.795011080374</v>
      </c>
      <c r="I2" s="7">
        <f>Table3[[#This Row],[psSAR10g_brain (mW/kg)]]*10^3/Table3[[#This Row],[Input Power (mW)]]</f>
        <v>4125.795011080374</v>
      </c>
      <c r="J2" s="7">
        <f>Table3[[#This Row],[SAR_brain (mW/kg)]]*10^3/Table3[[#This Row],[Input Power (mW)]]</f>
        <v>59.796114827961802</v>
      </c>
    </row>
    <row r="3" spans="1:10" ht="15.75" customHeight="1" x14ac:dyDescent="0.35">
      <c r="A3" s="4">
        <v>700</v>
      </c>
      <c r="B3" s="4" t="s">
        <v>27</v>
      </c>
      <c r="C3" s="4">
        <v>1</v>
      </c>
      <c r="D3" s="8">
        <f>Table3[[#This Row],[SAR_wholebody (mW/kg)]]*10^3/Table3[[#This Row],[Input Power (mW)]]</f>
        <v>29.971820007841984</v>
      </c>
      <c r="E3" s="8">
        <f>Table3[[#This Row],[SAR_head (mW/kg)]]*10^3/Table3[[#This Row],[Input Power (mW)]]</f>
        <v>317.51871293911387</v>
      </c>
      <c r="F3" s="8">
        <f>Table3[[#This Row],[SAR_trunk (mW/kg)]]*10^3/Table3[[#This Row],[Input Power (mW)]]</f>
        <v>9.2344232090745315</v>
      </c>
      <c r="G3" s="8">
        <f>Table3[[#This Row],[psSAR10g_eyes (mW/kg)]]*10^3/Table3[[#This Row],[Input Power (mW)]]</f>
        <v>3113.5728014936144</v>
      </c>
      <c r="H3" s="8">
        <f>Table3[[#This Row],[psSAR10g_skin (mW/kg)]]*10^3/Table3[[#This Row],[Input Power (mW)]]</f>
        <v>3578.1270261292993</v>
      </c>
      <c r="I3" s="8">
        <f>Table3[[#This Row],[psSAR10g_brain (mW/kg)]]*10^3/Table3[[#This Row],[Input Power (mW)]]</f>
        <v>3203.5283956566855</v>
      </c>
      <c r="J3" s="8">
        <f>Table3[[#This Row],[SAR_brain (mW/kg)]]*10^3/Table3[[#This Row],[Input Power (mW)]]</f>
        <v>72.756110417676027</v>
      </c>
    </row>
    <row r="4" spans="1:10" ht="15.75" customHeight="1" x14ac:dyDescent="0.35">
      <c r="A4" s="5">
        <v>700</v>
      </c>
      <c r="B4" s="5" t="s">
        <v>28</v>
      </c>
      <c r="C4" s="5">
        <v>1</v>
      </c>
      <c r="D4" s="9">
        <f>Table3[[#This Row],[SAR_wholebody (mW/kg)]]*10^3/Table3[[#This Row],[Input Power (mW)]]</f>
        <v>28.645741335075392</v>
      </c>
      <c r="E4" s="9">
        <f>Table3[[#This Row],[SAR_head (mW/kg)]]*10^3/Table3[[#This Row],[Input Power (mW)]]</f>
        <v>288.32279480203857</v>
      </c>
      <c r="F4" s="9">
        <f>Table3[[#This Row],[SAR_trunk (mW/kg)]]*10^3/Table3[[#This Row],[Input Power (mW)]]</f>
        <v>6.4435890522323973</v>
      </c>
      <c r="G4" s="9">
        <f>Table3[[#This Row],[psSAR10g_eyes (mW/kg)]]*10^3/Table3[[#This Row],[Input Power (mW)]]</f>
        <v>2688.9445413527042</v>
      </c>
      <c r="H4" s="9">
        <f>Table3[[#This Row],[psSAR10g_skin (mW/kg)]]*10^3/Table3[[#This Row],[Input Power (mW)]]</f>
        <v>3504.4626874325695</v>
      </c>
      <c r="I4" s="9">
        <f>Table3[[#This Row],[psSAR10g_brain (mW/kg)]]*10^3/Table3[[#This Row],[Input Power (mW)]]</f>
        <v>2715.4490780737606</v>
      </c>
      <c r="J4" s="9">
        <f>Table3[[#This Row],[SAR_brain (mW/kg)]]*10^3/Table3[[#This Row],[Input Power (mW)]]</f>
        <v>43.985405405178646</v>
      </c>
    </row>
    <row r="5" spans="1:10" ht="15.75" customHeight="1" x14ac:dyDescent="0.35">
      <c r="A5" s="4">
        <v>700</v>
      </c>
      <c r="B5" s="4" t="s">
        <v>29</v>
      </c>
      <c r="C5" s="4">
        <v>1</v>
      </c>
      <c r="D5" s="8">
        <f>Table3[[#This Row],[SAR_wholebody (mW/kg)]]*10^3/Table3[[#This Row],[Input Power (mW)]]</f>
        <v>19.666600606919626</v>
      </c>
      <c r="E5" s="8">
        <f>Table3[[#This Row],[SAR_head (mW/kg)]]*10^3/Table3[[#This Row],[Input Power (mW)]]</f>
        <v>199.78214273203071</v>
      </c>
      <c r="F5" s="8">
        <f>Table3[[#This Row],[SAR_trunk (mW/kg)]]*10^3/Table3[[#This Row],[Input Power (mW)]]</f>
        <v>5.9446256332116478</v>
      </c>
      <c r="G5" s="8">
        <f>Table3[[#This Row],[psSAR10g_eyes (mW/kg)]]*10^3/Table3[[#This Row],[Input Power (mW)]]</f>
        <v>650.91437343722839</v>
      </c>
      <c r="H5" s="8">
        <f>Table3[[#This Row],[psSAR10g_skin (mW/kg)]]*10^3/Table3[[#This Row],[Input Power (mW)]]</f>
        <v>1308.4017834421122</v>
      </c>
      <c r="I5" s="8">
        <f>Table3[[#This Row],[psSAR10g_brain (mW/kg)]]*10^3/Table3[[#This Row],[Input Power (mW)]]</f>
        <v>977.02740933077519</v>
      </c>
      <c r="J5" s="8">
        <f>Table3[[#This Row],[SAR_brain (mW/kg)]]*10^3/Table3[[#This Row],[Input Power (mW)]]</f>
        <v>34.400393886040447</v>
      </c>
    </row>
    <row r="6" spans="1:10" ht="15.75" customHeight="1" x14ac:dyDescent="0.35">
      <c r="A6" s="5">
        <v>700</v>
      </c>
      <c r="B6" s="5" t="s">
        <v>30</v>
      </c>
      <c r="C6" s="5">
        <v>1</v>
      </c>
      <c r="D6" s="9">
        <f>Table3[[#This Row],[SAR_wholebody (mW/kg)]]*10^3/Table3[[#This Row],[Input Power (mW)]]</f>
        <v>19.413730536791721</v>
      </c>
      <c r="E6" s="9">
        <f>Table3[[#This Row],[SAR_head (mW/kg)]]*10^3/Table3[[#This Row],[Input Power (mW)]]</f>
        <v>192.56002434280111</v>
      </c>
      <c r="F6" s="9">
        <f>Table3[[#This Row],[SAR_trunk (mW/kg)]]*10^3/Table3[[#This Row],[Input Power (mW)]]</f>
        <v>8.463976708798203</v>
      </c>
      <c r="G6" s="9">
        <f>Table3[[#This Row],[psSAR10g_eyes (mW/kg)]]*10^3/Table3[[#This Row],[Input Power (mW)]]</f>
        <v>779.23817443022847</v>
      </c>
      <c r="H6" s="9">
        <f>Table3[[#This Row],[psSAR10g_skin (mW/kg)]]*10^3/Table3[[#This Row],[Input Power (mW)]]</f>
        <v>1251.0877343421009</v>
      </c>
      <c r="I6" s="9">
        <f>Table3[[#This Row],[psSAR10g_brain (mW/kg)]]*10^3/Table3[[#This Row],[Input Power (mW)]]</f>
        <v>1099.1054486807191</v>
      </c>
      <c r="J6" s="9">
        <f>Table3[[#This Row],[SAR_brain (mW/kg)]]*10^3/Table3[[#This Row],[Input Power (mW)]]</f>
        <v>41.275298404408993</v>
      </c>
    </row>
    <row r="7" spans="1:10" ht="15.75" customHeight="1" thickBot="1" x14ac:dyDescent="0.4">
      <c r="A7" s="6">
        <v>700</v>
      </c>
      <c r="B7" s="6" t="s">
        <v>31</v>
      </c>
      <c r="C7" s="6">
        <v>1</v>
      </c>
      <c r="D7" s="10">
        <f>Table3[[#This Row],[SAR_wholebody (mW/kg)]]*10^3/Table3[[#This Row],[Input Power (mW)]]</f>
        <v>20.604324334142134</v>
      </c>
      <c r="E7" s="10">
        <f>Table3[[#This Row],[SAR_head (mW/kg)]]*10^3/Table3[[#This Row],[Input Power (mW)]]</f>
        <v>202.97388895832134</v>
      </c>
      <c r="F7" s="10">
        <f>Table3[[#This Row],[SAR_trunk (mW/kg)]]*10^3/Table3[[#This Row],[Input Power (mW)]]</f>
        <v>4.3950969005452061</v>
      </c>
      <c r="G7" s="10">
        <f>Table3[[#This Row],[psSAR10g_eyes (mW/kg)]]*10^3/Table3[[#This Row],[Input Power (mW)]]</f>
        <v>530.11615822977535</v>
      </c>
      <c r="H7" s="10">
        <f>Table3[[#This Row],[psSAR10g_skin (mW/kg)]]*10^3/Table3[[#This Row],[Input Power (mW)]]</f>
        <v>1327.4008409066669</v>
      </c>
      <c r="I7" s="10">
        <f>Table3[[#This Row],[psSAR10g_brain (mW/kg)]]*10^3/Table3[[#This Row],[Input Power (mW)]]</f>
        <v>805.81377906493628</v>
      </c>
      <c r="J7" s="10">
        <f>Table3[[#This Row],[SAR_brain (mW/kg)]]*10^3/Table3[[#This Row],[Input Power (mW)]]</f>
        <v>29.3438810474427</v>
      </c>
    </row>
    <row r="8" spans="1:10" ht="15.75" customHeight="1" x14ac:dyDescent="0.35">
      <c r="A8" s="3">
        <v>835</v>
      </c>
      <c r="B8" s="3" t="s">
        <v>26</v>
      </c>
      <c r="C8" s="3">
        <v>1</v>
      </c>
      <c r="D8" s="7">
        <f>Table3[[#This Row],[SAR_wholebody (mW/kg)]]*10^3/Table3[[#This Row],[Input Power (mW)]]</f>
        <v>35.97661295293539</v>
      </c>
      <c r="E8" s="7">
        <f>Table3[[#This Row],[SAR_head (mW/kg)]]*10^3/Table3[[#This Row],[Input Power (mW)]]</f>
        <v>366.00154410917548</v>
      </c>
      <c r="F8" s="7">
        <f>Table3[[#This Row],[SAR_trunk (mW/kg)]]*10^3/Table3[[#This Row],[Input Power (mW)]]</f>
        <v>6.3479723738935965</v>
      </c>
      <c r="G8" s="7">
        <f>Table3[[#This Row],[psSAR10g_eyes (mW/kg)]]*10^3/Table3[[#This Row],[Input Power (mW)]]</f>
        <v>3666.6611239729473</v>
      </c>
      <c r="H8" s="7">
        <f>Table3[[#This Row],[psSAR10g_skin (mW/kg)]]*10^3/Table3[[#This Row],[Input Power (mW)]]</f>
        <v>6173.8933626396938</v>
      </c>
      <c r="I8" s="7">
        <f>Table3[[#This Row],[psSAR10g_brain (mW/kg)]]*10^3/Table3[[#This Row],[Input Power (mW)]]</f>
        <v>6173.8933626396938</v>
      </c>
      <c r="J8" s="7">
        <f>Table3[[#This Row],[SAR_brain (mW/kg)]]*10^3/Table3[[#This Row],[Input Power (mW)]]</f>
        <v>79.679769837702196</v>
      </c>
    </row>
    <row r="9" spans="1:10" ht="15.75" customHeight="1" x14ac:dyDescent="0.35">
      <c r="A9" s="4">
        <v>835</v>
      </c>
      <c r="B9" s="4" t="s">
        <v>27</v>
      </c>
      <c r="C9" s="4">
        <v>1</v>
      </c>
      <c r="D9" s="8">
        <f>Table3[[#This Row],[SAR_wholebody (mW/kg)]]*10^3/Table3[[#This Row],[Input Power (mW)]]</f>
        <v>35.475987036444778</v>
      </c>
      <c r="E9" s="8">
        <f>Table3[[#This Row],[SAR_head (mW/kg)]]*10^3/Table3[[#This Row],[Input Power (mW)]]</f>
        <v>361.67228325126268</v>
      </c>
      <c r="F9" s="8">
        <f>Table3[[#This Row],[SAR_trunk (mW/kg)]]*10^3/Table3[[#This Row],[Input Power (mW)]]</f>
        <v>8.5797595131497797</v>
      </c>
      <c r="G9" s="8">
        <f>Table3[[#This Row],[psSAR10g_eyes (mW/kg)]]*10^3/Table3[[#This Row],[Input Power (mW)]]</f>
        <v>3353.6332125178947</v>
      </c>
      <c r="H9" s="8">
        <f>Table3[[#This Row],[psSAR10g_skin (mW/kg)]]*10^3/Table3[[#This Row],[Input Power (mW)]]</f>
        <v>5332.1778627994745</v>
      </c>
      <c r="I9" s="8">
        <f>Table3[[#This Row],[psSAR10g_brain (mW/kg)]]*10^3/Table3[[#This Row],[Input Power (mW)]]</f>
        <v>4932.5887253556139</v>
      </c>
      <c r="J9" s="8">
        <f>Table3[[#This Row],[SAR_brain (mW/kg)]]*10^3/Table3[[#This Row],[Input Power (mW)]]</f>
        <v>90.596083096015775</v>
      </c>
    </row>
    <row r="10" spans="1:10" ht="15.75" customHeight="1" x14ac:dyDescent="0.35">
      <c r="A10" s="5">
        <v>835</v>
      </c>
      <c r="B10" s="5" t="s">
        <v>28</v>
      </c>
      <c r="C10" s="5">
        <v>1</v>
      </c>
      <c r="D10" s="9">
        <f>Table3[[#This Row],[SAR_wholebody (mW/kg)]]*10^3/Table3[[#This Row],[Input Power (mW)]]</f>
        <v>34.297005183754294</v>
      </c>
      <c r="E10" s="9">
        <f>Table3[[#This Row],[SAR_head (mW/kg)]]*10^3/Table3[[#This Row],[Input Power (mW)]]</f>
        <v>365.94057943808423</v>
      </c>
      <c r="F10" s="9">
        <f>Table3[[#This Row],[SAR_trunk (mW/kg)]]*10^3/Table3[[#This Row],[Input Power (mW)]]</f>
        <v>5.3152485257686841</v>
      </c>
      <c r="G10" s="9">
        <f>Table3[[#This Row],[psSAR10g_eyes (mW/kg)]]*10^3/Table3[[#This Row],[Input Power (mW)]]</f>
        <v>3993.928833266526</v>
      </c>
      <c r="H10" s="9">
        <f>Table3[[#This Row],[psSAR10g_skin (mW/kg)]]*10^3/Table3[[#This Row],[Input Power (mW)]]</f>
        <v>5396.9223805167985</v>
      </c>
      <c r="I10" s="9">
        <f>Table3[[#This Row],[psSAR10g_brain (mW/kg)]]*10^3/Table3[[#This Row],[Input Power (mW)]]</f>
        <v>4448.4888346627631</v>
      </c>
      <c r="J10" s="9">
        <f>Table3[[#This Row],[SAR_brain (mW/kg)]]*10^3/Table3[[#This Row],[Input Power (mW)]]</f>
        <v>62.145407752964474</v>
      </c>
    </row>
    <row r="11" spans="1:10" ht="15.75" customHeight="1" x14ac:dyDescent="0.35">
      <c r="A11" s="4">
        <v>835</v>
      </c>
      <c r="B11" s="4" t="s">
        <v>29</v>
      </c>
      <c r="C11" s="4">
        <v>1</v>
      </c>
      <c r="D11" s="8">
        <f>Table3[[#This Row],[SAR_wholebody (mW/kg)]]*10^3/Table3[[#This Row],[Input Power (mW)]]</f>
        <v>21.146156682377153</v>
      </c>
      <c r="E11" s="8">
        <f>Table3[[#This Row],[SAR_head (mW/kg)]]*10^3/Table3[[#This Row],[Input Power (mW)]]</f>
        <v>224.09407152668817</v>
      </c>
      <c r="F11" s="8">
        <f>Table3[[#This Row],[SAR_trunk (mW/kg)]]*10^3/Table3[[#This Row],[Input Power (mW)]]</f>
        <v>10.817843799254955</v>
      </c>
      <c r="G11" s="8">
        <f>Table3[[#This Row],[psSAR10g_eyes (mW/kg)]]*10^3/Table3[[#This Row],[Input Power (mW)]]</f>
        <v>481.42339092118857</v>
      </c>
      <c r="H11" s="8">
        <f>Table3[[#This Row],[psSAR10g_skin (mW/kg)]]*10^3/Table3[[#This Row],[Input Power (mW)]]</f>
        <v>898.32997750923687</v>
      </c>
      <c r="I11" s="8">
        <f>Table3[[#This Row],[psSAR10g_brain (mW/kg)]]*10^3/Table3[[#This Row],[Input Power (mW)]]</f>
        <v>860.68381249975437</v>
      </c>
      <c r="J11" s="8">
        <f>Table3[[#This Row],[SAR_brain (mW/kg)]]*10^3/Table3[[#This Row],[Input Power (mW)]]</f>
        <v>45.506688412803513</v>
      </c>
    </row>
    <row r="12" spans="1:10" ht="15.75" customHeight="1" x14ac:dyDescent="0.35">
      <c r="A12" s="5">
        <v>835</v>
      </c>
      <c r="B12" s="5" t="s">
        <v>30</v>
      </c>
      <c r="C12" s="5">
        <v>1</v>
      </c>
      <c r="D12" s="9">
        <f>Table3[[#This Row],[SAR_wholebody (mW/kg)]]*10^3/Table3[[#This Row],[Input Power (mW)]]</f>
        <v>20.113561880780964</v>
      </c>
      <c r="E12" s="9">
        <f>Table3[[#This Row],[SAR_head (mW/kg)]]*10^3/Table3[[#This Row],[Input Power (mW)]]</f>
        <v>212.29217981038772</v>
      </c>
      <c r="F12" s="9">
        <f>Table3[[#This Row],[SAR_trunk (mW/kg)]]*10^3/Table3[[#This Row],[Input Power (mW)]]</f>
        <v>16.859035383351621</v>
      </c>
      <c r="G12" s="9">
        <f>Table3[[#This Row],[psSAR10g_eyes (mW/kg)]]*10^3/Table3[[#This Row],[Input Power (mW)]]</f>
        <v>625.47294215122815</v>
      </c>
      <c r="H12" s="9">
        <f>Table3[[#This Row],[psSAR10g_skin (mW/kg)]]*10^3/Table3[[#This Row],[Input Power (mW)]]</f>
        <v>901.24167170838609</v>
      </c>
      <c r="I12" s="9">
        <f>Table3[[#This Row],[psSAR10g_brain (mW/kg)]]*10^3/Table3[[#This Row],[Input Power (mW)]]</f>
        <v>820.51584410692112</v>
      </c>
      <c r="J12" s="9">
        <f>Table3[[#This Row],[SAR_brain (mW/kg)]]*10^3/Table3[[#This Row],[Input Power (mW)]]</f>
        <v>50.639892656505261</v>
      </c>
    </row>
    <row r="13" spans="1:10" ht="15.75" customHeight="1" thickBot="1" x14ac:dyDescent="0.4">
      <c r="A13" s="6">
        <v>835</v>
      </c>
      <c r="B13" s="6" t="s">
        <v>31</v>
      </c>
      <c r="C13" s="6">
        <v>1</v>
      </c>
      <c r="D13" s="10">
        <f>Table3[[#This Row],[SAR_wholebody (mW/kg)]]*10^3/Table3[[#This Row],[Input Power (mW)]]</f>
        <v>22.358170345053374</v>
      </c>
      <c r="E13" s="10">
        <f>Table3[[#This Row],[SAR_head (mW/kg)]]*10^3/Table3[[#This Row],[Input Power (mW)]]</f>
        <v>238.2023766158544</v>
      </c>
      <c r="F13" s="10">
        <f>Table3[[#This Row],[SAR_trunk (mW/kg)]]*10^3/Table3[[#This Row],[Input Power (mW)]]</f>
        <v>6.9944822303922374</v>
      </c>
      <c r="G13" s="10">
        <f>Table3[[#This Row],[psSAR10g_eyes (mW/kg)]]*10^3/Table3[[#This Row],[Input Power (mW)]]</f>
        <v>402.57641841492716</v>
      </c>
      <c r="H13" s="10">
        <f>Table3[[#This Row],[psSAR10g_skin (mW/kg)]]*10^3/Table3[[#This Row],[Input Power (mW)]]</f>
        <v>879.85170441211403</v>
      </c>
      <c r="I13" s="10">
        <f>Table3[[#This Row],[psSAR10g_brain (mW/kg)]]*10^3/Table3[[#This Row],[Input Power (mW)]]</f>
        <v>866.79450269303948</v>
      </c>
      <c r="J13" s="10">
        <f>Table3[[#This Row],[SAR_brain (mW/kg)]]*10^3/Table3[[#This Row],[Input Power (mW)]]</f>
        <v>41.81055166097763</v>
      </c>
    </row>
    <row r="14" spans="1:10" ht="15.75" customHeight="1" x14ac:dyDescent="0.35">
      <c r="A14" s="3">
        <v>1450</v>
      </c>
      <c r="B14" s="3" t="s">
        <v>26</v>
      </c>
      <c r="C14" s="3">
        <v>1</v>
      </c>
      <c r="D14" s="7">
        <f>Table3[[#This Row],[SAR_wholebody (mW/kg)]]*10^3/Table3[[#This Row],[Input Power (mW)]]</f>
        <v>40.000642576338301</v>
      </c>
      <c r="E14" s="7">
        <f>Table3[[#This Row],[SAR_head (mW/kg)]]*10^3/Table3[[#This Row],[Input Power (mW)]]</f>
        <v>375.34093667388305</v>
      </c>
      <c r="F14" s="7">
        <f>Table3[[#This Row],[SAR_trunk (mW/kg)]]*10^3/Table3[[#This Row],[Input Power (mW)]]</f>
        <v>1.8776355097398207</v>
      </c>
      <c r="G14" s="7">
        <f>Table3[[#This Row],[psSAR10g_eyes (mW/kg)]]*10^3/Table3[[#This Row],[Input Power (mW)]]</f>
        <v>2107.9113977257266</v>
      </c>
      <c r="H14" s="7">
        <f>Table3[[#This Row],[psSAR10g_skin (mW/kg)]]*10^3/Table3[[#This Row],[Input Power (mW)]]</f>
        <v>7726.3569410532455</v>
      </c>
      <c r="I14" s="7">
        <f>Table3[[#This Row],[psSAR10g_brain (mW/kg)]]*10^3/Table3[[#This Row],[Input Power (mW)]]</f>
        <v>7726.3569410532455</v>
      </c>
      <c r="J14" s="7">
        <f>Table3[[#This Row],[SAR_brain (mW/kg)]]*10^3/Table3[[#This Row],[Input Power (mW)]]</f>
        <v>96.676397989087747</v>
      </c>
    </row>
    <row r="15" spans="1:10" ht="15.75" customHeight="1" x14ac:dyDescent="0.35">
      <c r="A15" s="4">
        <v>1450</v>
      </c>
      <c r="B15" s="4" t="s">
        <v>27</v>
      </c>
      <c r="C15" s="4">
        <v>1</v>
      </c>
      <c r="D15" s="8">
        <f>Table3[[#This Row],[SAR_wholebody (mW/kg)]]*10^3/Table3[[#This Row],[Input Power (mW)]]</f>
        <v>39.519964740879715</v>
      </c>
      <c r="E15" s="8">
        <f>Table3[[#This Row],[SAR_head (mW/kg)]]*10^3/Table3[[#This Row],[Input Power (mW)]]</f>
        <v>411.59498804666885</v>
      </c>
      <c r="F15" s="8">
        <f>Table3[[#This Row],[SAR_trunk (mW/kg)]]*10^3/Table3[[#This Row],[Input Power (mW)]]</f>
        <v>1.7538956474243679</v>
      </c>
      <c r="G15" s="8">
        <f>Table3[[#This Row],[psSAR10g_eyes (mW/kg)]]*10^3/Table3[[#This Row],[Input Power (mW)]]</f>
        <v>2598.332152194349</v>
      </c>
      <c r="H15" s="8">
        <f>Table3[[#This Row],[psSAR10g_skin (mW/kg)]]*10^3/Table3[[#This Row],[Input Power (mW)]]</f>
        <v>7296.5496535152924</v>
      </c>
      <c r="I15" s="8">
        <f>Table3[[#This Row],[psSAR10g_brain (mW/kg)]]*10^3/Table3[[#This Row],[Input Power (mW)]]</f>
        <v>7296.5496535152924</v>
      </c>
      <c r="J15" s="8">
        <f>Table3[[#This Row],[SAR_brain (mW/kg)]]*10^3/Table3[[#This Row],[Input Power (mW)]]</f>
        <v>93.177545534101881</v>
      </c>
    </row>
    <row r="16" spans="1:10" ht="15.75" customHeight="1" x14ac:dyDescent="0.35">
      <c r="A16" s="5">
        <v>1450</v>
      </c>
      <c r="B16" s="5" t="s">
        <v>28</v>
      </c>
      <c r="C16" s="5">
        <v>1</v>
      </c>
      <c r="D16" s="9">
        <f>Table3[[#This Row],[SAR_wholebody (mW/kg)]]*10^3/Table3[[#This Row],[Input Power (mW)]]</f>
        <v>40.947298207270748</v>
      </c>
      <c r="E16" s="9">
        <f>Table3[[#This Row],[SAR_head (mW/kg)]]*10^3/Table3[[#This Row],[Input Power (mW)]]</f>
        <v>370.08764187515567</v>
      </c>
      <c r="F16" s="9">
        <f>Table3[[#This Row],[SAR_trunk (mW/kg)]]*10^3/Table3[[#This Row],[Input Power (mW)]]</f>
        <v>1.7574173696181132</v>
      </c>
      <c r="G16" s="9">
        <f>Table3[[#This Row],[psSAR10g_eyes (mW/kg)]]*10^3/Table3[[#This Row],[Input Power (mW)]]</f>
        <v>1898.2217402900942</v>
      </c>
      <c r="H16" s="9">
        <f>Table3[[#This Row],[psSAR10g_skin (mW/kg)]]*10^3/Table3[[#This Row],[Input Power (mW)]]</f>
        <v>8628.3024246337172</v>
      </c>
      <c r="I16" s="9">
        <f>Table3[[#This Row],[psSAR10g_brain (mW/kg)]]*10^3/Table3[[#This Row],[Input Power (mW)]]</f>
        <v>8628.3024246337172</v>
      </c>
      <c r="J16" s="9">
        <f>Table3[[#This Row],[SAR_brain (mW/kg)]]*10^3/Table3[[#This Row],[Input Power (mW)]]</f>
        <v>101.31673825899622</v>
      </c>
    </row>
    <row r="17" spans="1:10" ht="15.75" customHeight="1" x14ac:dyDescent="0.35">
      <c r="A17" s="4">
        <v>1450</v>
      </c>
      <c r="B17" s="4" t="s">
        <v>29</v>
      </c>
      <c r="C17" s="4">
        <v>1</v>
      </c>
      <c r="D17" s="8">
        <f>Table3[[#This Row],[SAR_wholebody (mW/kg)]]*10^3/Table3[[#This Row],[Input Power (mW)]]</f>
        <v>23.305523972294058</v>
      </c>
      <c r="E17" s="8">
        <f>Table3[[#This Row],[SAR_head (mW/kg)]]*10^3/Table3[[#This Row],[Input Power (mW)]]</f>
        <v>236.95716647659813</v>
      </c>
      <c r="F17" s="8">
        <f>Table3[[#This Row],[SAR_trunk (mW/kg)]]*10^3/Table3[[#This Row],[Input Power (mW)]]</f>
        <v>1.5991515718115568</v>
      </c>
      <c r="G17" s="8">
        <f>Table3[[#This Row],[psSAR10g_eyes (mW/kg)]]*10^3/Table3[[#This Row],[Input Power (mW)]]</f>
        <v>830.08739716651507</v>
      </c>
      <c r="H17" s="8">
        <f>Table3[[#This Row],[psSAR10g_skin (mW/kg)]]*10^3/Table3[[#This Row],[Input Power (mW)]]</f>
        <v>3837.1983157588675</v>
      </c>
      <c r="I17" s="8">
        <f>Table3[[#This Row],[psSAR10g_brain (mW/kg)]]*10^3/Table3[[#This Row],[Input Power (mW)]]</f>
        <v>2856.3851546274718</v>
      </c>
      <c r="J17" s="8">
        <f>Table3[[#This Row],[SAR_brain (mW/kg)]]*10^3/Table3[[#This Row],[Input Power (mW)]]</f>
        <v>59.305660416074524</v>
      </c>
    </row>
    <row r="18" spans="1:10" ht="15.75" customHeight="1" x14ac:dyDescent="0.35">
      <c r="A18" s="5">
        <v>1450</v>
      </c>
      <c r="B18" s="5" t="s">
        <v>30</v>
      </c>
      <c r="C18" s="5">
        <v>1</v>
      </c>
      <c r="D18" s="9">
        <f>Table3[[#This Row],[SAR_wholebody (mW/kg)]]*10^3/Table3[[#This Row],[Input Power (mW)]]</f>
        <v>22.951334914171035</v>
      </c>
      <c r="E18" s="9">
        <f>Table3[[#This Row],[SAR_head (mW/kg)]]*10^3/Table3[[#This Row],[Input Power (mW)]]</f>
        <v>228.40904224496984</v>
      </c>
      <c r="F18" s="9">
        <f>Table3[[#This Row],[SAR_trunk (mW/kg)]]*10^3/Table3[[#This Row],[Input Power (mW)]]</f>
        <v>2.7978959635286129</v>
      </c>
      <c r="G18" s="9">
        <f>Table3[[#This Row],[psSAR10g_eyes (mW/kg)]]*10^3/Table3[[#This Row],[Input Power (mW)]]</f>
        <v>1036.4061680721131</v>
      </c>
      <c r="H18" s="9">
        <f>Table3[[#This Row],[psSAR10g_skin (mW/kg)]]*10^3/Table3[[#This Row],[Input Power (mW)]]</f>
        <v>3424.1968143447921</v>
      </c>
      <c r="I18" s="9">
        <f>Table3[[#This Row],[psSAR10g_brain (mW/kg)]]*10^3/Table3[[#This Row],[Input Power (mW)]]</f>
        <v>2858.0916044863775</v>
      </c>
      <c r="J18" s="9">
        <f>Table3[[#This Row],[SAR_brain (mW/kg)]]*10^3/Table3[[#This Row],[Input Power (mW)]]</f>
        <v>62.921107122818867</v>
      </c>
    </row>
    <row r="19" spans="1:10" ht="15.75" customHeight="1" thickBot="1" x14ac:dyDescent="0.4">
      <c r="A19" s="6">
        <v>1450</v>
      </c>
      <c r="B19" s="6" t="s">
        <v>31</v>
      </c>
      <c r="C19" s="6">
        <v>1</v>
      </c>
      <c r="D19" s="10">
        <f>Table3[[#This Row],[SAR_wholebody (mW/kg)]]*10^3/Table3[[#This Row],[Input Power (mW)]]</f>
        <v>24.627248594141228</v>
      </c>
      <c r="E19" s="10">
        <f>Table3[[#This Row],[SAR_head (mW/kg)]]*10^3/Table3[[#This Row],[Input Power (mW)]]</f>
        <v>242.98015496769435</v>
      </c>
      <c r="F19" s="10">
        <f>Table3[[#This Row],[SAR_trunk (mW/kg)]]*10^3/Table3[[#This Row],[Input Power (mW)]]</f>
        <v>1.147857562191283</v>
      </c>
      <c r="G19" s="10">
        <f>Table3[[#This Row],[psSAR10g_eyes (mW/kg)]]*10^3/Table3[[#This Row],[Input Power (mW)]]</f>
        <v>676.71146724943867</v>
      </c>
      <c r="H19" s="10">
        <f>Table3[[#This Row],[psSAR10g_skin (mW/kg)]]*10^3/Table3[[#This Row],[Input Power (mW)]]</f>
        <v>4482.9286225945471</v>
      </c>
      <c r="I19" s="10">
        <f>Table3[[#This Row],[psSAR10g_brain (mW/kg)]]*10^3/Table3[[#This Row],[Input Power (mW)]]</f>
        <v>2726.1777696837266</v>
      </c>
      <c r="J19" s="10">
        <f>Table3[[#This Row],[SAR_brain (mW/kg)]]*10^3/Table3[[#This Row],[Input Power (mW)]]</f>
        <v>56.390886906950001</v>
      </c>
    </row>
    <row r="20" spans="1:10" ht="15.75" customHeight="1" x14ac:dyDescent="0.35">
      <c r="A20" s="3">
        <v>2140</v>
      </c>
      <c r="B20" s="3" t="s">
        <v>26</v>
      </c>
      <c r="C20" s="3">
        <v>1</v>
      </c>
      <c r="D20" s="7">
        <f>Table3[[#This Row],[SAR_wholebody (mW/kg)]]*10^3/Table3[[#This Row],[Input Power (mW)]]</f>
        <v>35.607318458792435</v>
      </c>
      <c r="E20" s="7">
        <f>Table3[[#This Row],[SAR_head (mW/kg)]]*10^3/Table3[[#This Row],[Input Power (mW)]]</f>
        <v>357.99083510831537</v>
      </c>
      <c r="F20" s="7">
        <f>Table3[[#This Row],[SAR_trunk (mW/kg)]]*10^3/Table3[[#This Row],[Input Power (mW)]]</f>
        <v>0.68121452940965377</v>
      </c>
      <c r="G20" s="7">
        <f>Table3[[#This Row],[psSAR10g_eyes (mW/kg)]]*10^3/Table3[[#This Row],[Input Power (mW)]]</f>
        <v>1911.3848204634742</v>
      </c>
      <c r="H20" s="7">
        <f>Table3[[#This Row],[psSAR10g_skin (mW/kg)]]*10^3/Table3[[#This Row],[Input Power (mW)]]</f>
        <v>10086.175420804117</v>
      </c>
      <c r="I20" s="7">
        <f>Table3[[#This Row],[psSAR10g_brain (mW/kg)]]*10^3/Table3[[#This Row],[Input Power (mW)]]</f>
        <v>6063.6678685868583</v>
      </c>
      <c r="J20" s="7">
        <f>Table3[[#This Row],[SAR_brain (mW/kg)]]*10^3/Table3[[#This Row],[Input Power (mW)]]</f>
        <v>44.540797656023081</v>
      </c>
    </row>
    <row r="21" spans="1:10" ht="15.75" customHeight="1" x14ac:dyDescent="0.35">
      <c r="A21" s="4">
        <v>2140</v>
      </c>
      <c r="B21" s="4" t="s">
        <v>27</v>
      </c>
      <c r="C21" s="4">
        <v>1</v>
      </c>
      <c r="D21" s="8">
        <f>Table3[[#This Row],[SAR_wholebody (mW/kg)]]*10^3/Table3[[#This Row],[Input Power (mW)]]</f>
        <v>35.082955169538458</v>
      </c>
      <c r="E21" s="8">
        <f>Table3[[#This Row],[SAR_head (mW/kg)]]*10^3/Table3[[#This Row],[Input Power (mW)]]</f>
        <v>361.78520932229873</v>
      </c>
      <c r="F21" s="8">
        <f>Table3[[#This Row],[SAR_trunk (mW/kg)]]*10^3/Table3[[#This Row],[Input Power (mW)]]</f>
        <v>1.2234683536365949</v>
      </c>
      <c r="G21" s="8">
        <f>Table3[[#This Row],[psSAR10g_eyes (mW/kg)]]*10^3/Table3[[#This Row],[Input Power (mW)]]</f>
        <v>1971.9519979925769</v>
      </c>
      <c r="H21" s="8">
        <f>Table3[[#This Row],[psSAR10g_skin (mW/kg)]]*10^3/Table3[[#This Row],[Input Power (mW)]]</f>
        <v>9711.9809165377319</v>
      </c>
      <c r="I21" s="8">
        <f>Table3[[#This Row],[psSAR10g_brain (mW/kg)]]*10^3/Table3[[#This Row],[Input Power (mW)]]</f>
        <v>5456.9665661781664</v>
      </c>
      <c r="J21" s="8">
        <f>Table3[[#This Row],[SAR_brain (mW/kg)]]*10^3/Table3[[#This Row],[Input Power (mW)]]</f>
        <v>44.198811062111531</v>
      </c>
    </row>
    <row r="22" spans="1:10" ht="15.75" customHeight="1" x14ac:dyDescent="0.35">
      <c r="A22" s="5">
        <v>2140</v>
      </c>
      <c r="B22" s="5" t="s">
        <v>28</v>
      </c>
      <c r="C22" s="5">
        <v>1</v>
      </c>
      <c r="D22" s="9">
        <f>Table3[[#This Row],[SAR_wholebody (mW/kg)]]*10^3/Table3[[#This Row],[Input Power (mW)]]</f>
        <v>36.728255001082054</v>
      </c>
      <c r="E22" s="9">
        <f>Table3[[#This Row],[SAR_head (mW/kg)]]*10^3/Table3[[#This Row],[Input Power (mW)]]</f>
        <v>397.72601983514613</v>
      </c>
      <c r="F22" s="9">
        <f>Table3[[#This Row],[SAR_trunk (mW/kg)]]*10^3/Table3[[#This Row],[Input Power (mW)]]</f>
        <v>0.64517552188463978</v>
      </c>
      <c r="G22" s="9">
        <f>Table3[[#This Row],[psSAR10g_eyes (mW/kg)]]*10^3/Table3[[#This Row],[Input Power (mW)]]</f>
        <v>1712.2989846540638</v>
      </c>
      <c r="H22" s="9">
        <f>Table3[[#This Row],[psSAR10g_skin (mW/kg)]]*10^3/Table3[[#This Row],[Input Power (mW)]]</f>
        <v>11025.948158535692</v>
      </c>
      <c r="I22" s="9">
        <f>Table3[[#This Row],[psSAR10g_brain (mW/kg)]]*10^3/Table3[[#This Row],[Input Power (mW)]]</f>
        <v>6158.8449166503588</v>
      </c>
      <c r="J22" s="9">
        <f>Table3[[#This Row],[SAR_brain (mW/kg)]]*10^3/Table3[[#This Row],[Input Power (mW)]]</f>
        <v>44.877200064352564</v>
      </c>
    </row>
    <row r="23" spans="1:10" ht="15.75" customHeight="1" x14ac:dyDescent="0.35">
      <c r="A23" s="4">
        <v>2140</v>
      </c>
      <c r="B23" s="4" t="s">
        <v>29</v>
      </c>
      <c r="C23" s="4">
        <v>1</v>
      </c>
      <c r="D23" s="8">
        <f>Table3[[#This Row],[SAR_wholebody (mW/kg)]]*10^3/Table3[[#This Row],[Input Power (mW)]]</f>
        <v>19.674467114408333</v>
      </c>
      <c r="E23" s="8">
        <f>Table3[[#This Row],[SAR_head (mW/kg)]]*10^3/Table3[[#This Row],[Input Power (mW)]]</f>
        <v>228.94600975205512</v>
      </c>
      <c r="F23" s="8">
        <f>Table3[[#This Row],[SAR_trunk (mW/kg)]]*10^3/Table3[[#This Row],[Input Power (mW)]]</f>
        <v>2.4828670546080129</v>
      </c>
      <c r="G23" s="8">
        <f>Table3[[#This Row],[psSAR10g_eyes (mW/kg)]]*10^3/Table3[[#This Row],[Input Power (mW)]]</f>
        <v>739.31702877832697</v>
      </c>
      <c r="H23" s="8">
        <f>Table3[[#This Row],[psSAR10g_skin (mW/kg)]]*10^3/Table3[[#This Row],[Input Power (mW)]]</f>
        <v>6111.1568025812176</v>
      </c>
      <c r="I23" s="8">
        <f>Table3[[#This Row],[psSAR10g_brain (mW/kg)]]*10^3/Table3[[#This Row],[Input Power (mW)]]</f>
        <v>1653.7959797454359</v>
      </c>
      <c r="J23" s="8">
        <f>Table3[[#This Row],[SAR_brain (mW/kg)]]*10^3/Table3[[#This Row],[Input Power (mW)]]</f>
        <v>30.159114069988465</v>
      </c>
    </row>
    <row r="24" spans="1:10" ht="15.75" customHeight="1" x14ac:dyDescent="0.35">
      <c r="A24" s="5">
        <v>2140</v>
      </c>
      <c r="B24" s="5" t="s">
        <v>30</v>
      </c>
      <c r="C24" s="5">
        <v>1</v>
      </c>
      <c r="D24" s="9">
        <f>Table3[[#This Row],[SAR_wholebody (mW/kg)]]*10^3/Table3[[#This Row],[Input Power (mW)]]</f>
        <v>19.031447956192437</v>
      </c>
      <c r="E24" s="9">
        <f>Table3[[#This Row],[SAR_head (mW/kg)]]*10^3/Table3[[#This Row],[Input Power (mW)]]</f>
        <v>206.67659712908332</v>
      </c>
      <c r="F24" s="9">
        <f>Table3[[#This Row],[SAR_trunk (mW/kg)]]*10^3/Table3[[#This Row],[Input Power (mW)]]</f>
        <v>3.678453684864385</v>
      </c>
      <c r="G24" s="9">
        <f>Table3[[#This Row],[psSAR10g_eyes (mW/kg)]]*10^3/Table3[[#This Row],[Input Power (mW)]]</f>
        <v>810.78286885084606</v>
      </c>
      <c r="H24" s="9">
        <f>Table3[[#This Row],[psSAR10g_skin (mW/kg)]]*10^3/Table3[[#This Row],[Input Power (mW)]]</f>
        <v>5638.0764876435642</v>
      </c>
      <c r="I24" s="9">
        <f>Table3[[#This Row],[psSAR10g_brain (mW/kg)]]*10^3/Table3[[#This Row],[Input Power (mW)]]</f>
        <v>1661.331762245205</v>
      </c>
      <c r="J24" s="9">
        <f>Table3[[#This Row],[SAR_brain (mW/kg)]]*10^3/Table3[[#This Row],[Input Power (mW)]]</f>
        <v>32.11158452115</v>
      </c>
    </row>
    <row r="25" spans="1:10" ht="15.75" customHeight="1" thickBot="1" x14ac:dyDescent="0.4">
      <c r="A25" s="6">
        <v>2140</v>
      </c>
      <c r="B25" s="6" t="s">
        <v>31</v>
      </c>
      <c r="C25" s="6">
        <v>1</v>
      </c>
      <c r="D25" s="10">
        <f>Table3[[#This Row],[SAR_wholebody (mW/kg)]]*10^3/Table3[[#This Row],[Input Power (mW)]]</f>
        <v>20.893980711266025</v>
      </c>
      <c r="E25" s="10">
        <f>Table3[[#This Row],[SAR_head (mW/kg)]]*10^3/Table3[[#This Row],[Input Power (mW)]]</f>
        <v>229.4549385090923</v>
      </c>
      <c r="F25" s="10">
        <f>Table3[[#This Row],[SAR_trunk (mW/kg)]]*10^3/Table3[[#This Row],[Input Power (mW)]]</f>
        <v>1.5983210612025127</v>
      </c>
      <c r="G25" s="10">
        <f>Table3[[#This Row],[psSAR10g_eyes (mW/kg)]]*10^3/Table3[[#This Row],[Input Power (mW)]]</f>
        <v>658.51482786383838</v>
      </c>
      <c r="H25" s="10">
        <f>Table3[[#This Row],[psSAR10g_skin (mW/kg)]]*10^3/Table3[[#This Row],[Input Power (mW)]]</f>
        <v>6771.8881602059473</v>
      </c>
      <c r="I25" s="10">
        <f>Table3[[#This Row],[psSAR10g_brain (mW/kg)]]*10^3/Table3[[#This Row],[Input Power (mW)]]</f>
        <v>1733.7803582126921</v>
      </c>
      <c r="J25" s="10">
        <f>Table3[[#This Row],[SAR_brain (mW/kg)]]*10^3/Table3[[#This Row],[Input Power (mW)]]</f>
        <v>28.485279576502563</v>
      </c>
    </row>
    <row r="26" spans="1:10" ht="15.75" customHeight="1" x14ac:dyDescent="0.35">
      <c r="A26" s="3">
        <v>2450</v>
      </c>
      <c r="B26" s="3" t="s">
        <v>26</v>
      </c>
      <c r="C26" s="3">
        <v>1</v>
      </c>
      <c r="D26" s="7">
        <f>Table3[[#This Row],[SAR_wholebody (mW/kg)]]*10^3/Table3[[#This Row],[Input Power (mW)]]</f>
        <v>32.79030623958662</v>
      </c>
      <c r="E26" s="7">
        <f>Table3[[#This Row],[SAR_head (mW/kg)]]*10^3/Table3[[#This Row],[Input Power (mW)]]</f>
        <v>356.19817520287302</v>
      </c>
      <c r="F26" s="7">
        <f>Table3[[#This Row],[SAR_trunk (mW/kg)]]*10^3/Table3[[#This Row],[Input Power (mW)]]</f>
        <v>0.63647168968875811</v>
      </c>
      <c r="G26" s="7">
        <f>Table3[[#This Row],[psSAR10g_eyes (mW/kg)]]*10^3/Table3[[#This Row],[Input Power (mW)]]</f>
        <v>2121.2665693001486</v>
      </c>
      <c r="H26" s="7">
        <f>Table3[[#This Row],[psSAR10g_skin (mW/kg)]]*10^3/Table3[[#This Row],[Input Power (mW)]]</f>
        <v>10829.272442437852</v>
      </c>
      <c r="I26" s="7">
        <f>Table3[[#This Row],[psSAR10g_brain (mW/kg)]]*10^3/Table3[[#This Row],[Input Power (mW)]]</f>
        <v>5734.606398060324</v>
      </c>
      <c r="J26" s="7">
        <f>Table3[[#This Row],[SAR_brain (mW/kg)]]*10^3/Table3[[#This Row],[Input Power (mW)]]</f>
        <v>31.499146581513514</v>
      </c>
    </row>
    <row r="27" spans="1:10" ht="15.75" customHeight="1" x14ac:dyDescent="0.35">
      <c r="A27" s="4">
        <v>2450</v>
      </c>
      <c r="B27" s="4" t="s">
        <v>27</v>
      </c>
      <c r="C27" s="4">
        <v>1</v>
      </c>
      <c r="D27" s="8">
        <f>Table3[[#This Row],[SAR_wholebody (mW/kg)]]*10^3/Table3[[#This Row],[Input Power (mW)]]</f>
        <v>32.243785720277565</v>
      </c>
      <c r="E27" s="8">
        <f>Table3[[#This Row],[SAR_head (mW/kg)]]*10^3/Table3[[#This Row],[Input Power (mW)]]</f>
        <v>358.7962577174203</v>
      </c>
      <c r="F27" s="8">
        <f>Table3[[#This Row],[SAR_trunk (mW/kg)]]*10^3/Table3[[#This Row],[Input Power (mW)]]</f>
        <v>0.94606122038380525</v>
      </c>
      <c r="G27" s="8">
        <f>Table3[[#This Row],[psSAR10g_eyes (mW/kg)]]*10^3/Table3[[#This Row],[Input Power (mW)]]</f>
        <v>2138.5228579555678</v>
      </c>
      <c r="H27" s="8">
        <f>Table3[[#This Row],[psSAR10g_skin (mW/kg)]]*10^3/Table3[[#This Row],[Input Power (mW)]]</f>
        <v>9747.4862579646087</v>
      </c>
      <c r="I27" s="8">
        <f>Table3[[#This Row],[psSAR10g_brain (mW/kg)]]*10^3/Table3[[#This Row],[Input Power (mW)]]</f>
        <v>5345.7633579719459</v>
      </c>
      <c r="J27" s="8">
        <f>Table3[[#This Row],[SAR_brain (mW/kg)]]*10^3/Table3[[#This Row],[Input Power (mW)]]</f>
        <v>31.354954385102701</v>
      </c>
    </row>
    <row r="28" spans="1:10" ht="15.75" customHeight="1" x14ac:dyDescent="0.35">
      <c r="A28" s="5">
        <v>2450</v>
      </c>
      <c r="B28" s="5" t="s">
        <v>28</v>
      </c>
      <c r="C28" s="5">
        <v>1</v>
      </c>
      <c r="D28" s="9">
        <f>Table3[[#This Row],[SAR_wholebody (mW/kg)]]*10^3/Table3[[#This Row],[Input Power (mW)]]</f>
        <v>34.078178524998513</v>
      </c>
      <c r="E28" s="9">
        <f>Table3[[#This Row],[SAR_head (mW/kg)]]*10^3/Table3[[#This Row],[Input Power (mW)]]</f>
        <v>323.22085187305805</v>
      </c>
      <c r="F28" s="9">
        <f>Table3[[#This Row],[SAR_trunk (mW/kg)]]*10^3/Table3[[#This Row],[Input Power (mW)]]</f>
        <v>0.49046815915334058</v>
      </c>
      <c r="G28" s="9">
        <f>Table3[[#This Row],[psSAR10g_eyes (mW/kg)]]*10^3/Table3[[#This Row],[Input Power (mW)]]</f>
        <v>1574.4098056240407</v>
      </c>
      <c r="H28" s="9">
        <f>Table3[[#This Row],[psSAR10g_skin (mW/kg)]]*10^3/Table3[[#This Row],[Input Power (mW)]]</f>
        <v>12319.327077252634</v>
      </c>
      <c r="I28" s="9">
        <f>Table3[[#This Row],[psSAR10g_brain (mW/kg)]]*10^3/Table3[[#This Row],[Input Power (mW)]]</f>
        <v>5699.1299370963097</v>
      </c>
      <c r="J28" s="9">
        <f>Table3[[#This Row],[SAR_brain (mW/kg)]]*10^3/Table3[[#This Row],[Input Power (mW)]]</f>
        <v>31.437310612275674</v>
      </c>
    </row>
    <row r="29" spans="1:10" ht="15.75" customHeight="1" x14ac:dyDescent="0.35">
      <c r="A29" s="4">
        <v>2450</v>
      </c>
      <c r="B29" s="4" t="s">
        <v>29</v>
      </c>
      <c r="C29" s="4">
        <v>1</v>
      </c>
      <c r="D29" s="8">
        <f>Table3[[#This Row],[SAR_wholebody (mW/kg)]]*10^3/Table3[[#This Row],[Input Power (mW)]]</f>
        <v>18.158902640115947</v>
      </c>
      <c r="E29" s="8">
        <f>Table3[[#This Row],[SAR_head (mW/kg)]]*10^3/Table3[[#This Row],[Input Power (mW)]]</f>
        <v>182.84159516944865</v>
      </c>
      <c r="F29" s="8">
        <f>Table3[[#This Row],[SAR_trunk (mW/kg)]]*10^3/Table3[[#This Row],[Input Power (mW)]]</f>
        <v>1.5750298593456487</v>
      </c>
      <c r="G29" s="8">
        <f>Table3[[#This Row],[psSAR10g_eyes (mW/kg)]]*10^3/Table3[[#This Row],[Input Power (mW)]]</f>
        <v>560.16892152854598</v>
      </c>
      <c r="H29" s="8">
        <f>Table3[[#This Row],[psSAR10g_skin (mW/kg)]]*10^3/Table3[[#This Row],[Input Power (mW)]]</f>
        <v>6541.8526354659862</v>
      </c>
      <c r="I29" s="8">
        <f>Table3[[#This Row],[psSAR10g_brain (mW/kg)]]*10^3/Table3[[#This Row],[Input Power (mW)]]</f>
        <v>1776.3685074202297</v>
      </c>
      <c r="J29" s="8">
        <f>Table3[[#This Row],[SAR_brain (mW/kg)]]*10^3/Table3[[#This Row],[Input Power (mW)]]</f>
        <v>26.302127737559463</v>
      </c>
    </row>
    <row r="30" spans="1:10" ht="15.75" customHeight="1" x14ac:dyDescent="0.35">
      <c r="A30" s="5">
        <v>2450</v>
      </c>
      <c r="B30" s="5" t="s">
        <v>30</v>
      </c>
      <c r="C30" s="5">
        <v>1</v>
      </c>
      <c r="D30" s="9">
        <f>Table3[[#This Row],[SAR_wholebody (mW/kg)]]*10^3/Table3[[#This Row],[Input Power (mW)]]</f>
        <v>17.607416855063377</v>
      </c>
      <c r="E30" s="9">
        <f>Table3[[#This Row],[SAR_head (mW/kg)]]*10^3/Table3[[#This Row],[Input Power (mW)]]</f>
        <v>184.42262955521622</v>
      </c>
      <c r="F30" s="9">
        <f>Table3[[#This Row],[SAR_trunk (mW/kg)]]*10^3/Table3[[#This Row],[Input Power (mW)]]</f>
        <v>3.1373683317043377</v>
      </c>
      <c r="G30" s="9">
        <f>Table3[[#This Row],[psSAR10g_eyes (mW/kg)]]*10^3/Table3[[#This Row],[Input Power (mW)]]</f>
        <v>574.22796174506482</v>
      </c>
      <c r="H30" s="9">
        <f>Table3[[#This Row],[psSAR10g_skin (mW/kg)]]*10^3/Table3[[#This Row],[Input Power (mW)]]</f>
        <v>6072.2918064859596</v>
      </c>
      <c r="I30" s="9">
        <f>Table3[[#This Row],[psSAR10g_brain (mW/kg)]]*10^3/Table3[[#This Row],[Input Power (mW)]]</f>
        <v>1932.65133587073</v>
      </c>
      <c r="J30" s="9">
        <f>Table3[[#This Row],[SAR_brain (mW/kg)]]*10^3/Table3[[#This Row],[Input Power (mW)]]</f>
        <v>29.057509740601351</v>
      </c>
    </row>
    <row r="31" spans="1:10" ht="15.75" customHeight="1" thickBot="1" x14ac:dyDescent="0.4">
      <c r="A31" s="6">
        <v>2450</v>
      </c>
      <c r="B31" s="6" t="s">
        <v>31</v>
      </c>
      <c r="C31" s="6">
        <v>1</v>
      </c>
      <c r="D31" s="10">
        <f>Table3[[#This Row],[SAR_wholebody (mW/kg)]]*10^3/Table3[[#This Row],[Input Power (mW)]]</f>
        <v>19.415840444377299</v>
      </c>
      <c r="E31" s="10">
        <f>Table3[[#This Row],[SAR_head (mW/kg)]]*10^3/Table3[[#This Row],[Input Power (mW)]]</f>
        <v>215.56665211222838</v>
      </c>
      <c r="F31" s="10">
        <f>Table3[[#This Row],[SAR_trunk (mW/kg)]]*10^3/Table3[[#This Row],[Input Power (mW)]]</f>
        <v>0.75707771852882033</v>
      </c>
      <c r="G31" s="10">
        <f>Table3[[#This Row],[psSAR10g_eyes (mW/kg)]]*10^3/Table3[[#This Row],[Input Power (mW)]]</f>
        <v>555.2260389323244</v>
      </c>
      <c r="H31" s="10">
        <f>Table3[[#This Row],[psSAR10g_skin (mW/kg)]]*10^3/Table3[[#This Row],[Input Power (mW)]]</f>
        <v>7405.0245091121205</v>
      </c>
      <c r="I31" s="10">
        <f>Table3[[#This Row],[psSAR10g_brain (mW/kg)]]*10^3/Table3[[#This Row],[Input Power (mW)]]</f>
        <v>1731.0775541693781</v>
      </c>
      <c r="J31" s="10">
        <f>Table3[[#This Row],[SAR_brain (mW/kg)]]*10^3/Table3[[#This Row],[Input Power (mW)]]</f>
        <v>23.513822097808106</v>
      </c>
    </row>
    <row r="32" spans="1:10" ht="15.75" customHeight="1" x14ac:dyDescent="0.35">
      <c r="A32" s="3">
        <v>3500</v>
      </c>
      <c r="B32" s="3" t="s">
        <v>26</v>
      </c>
      <c r="C32" s="3">
        <v>1</v>
      </c>
      <c r="D32" s="7">
        <f>Table3[[#This Row],[SAR_wholebody (mW/kg)]]*10^3/Table3[[#This Row],[Input Power (mW)]]</f>
        <v>25.975579581564542</v>
      </c>
      <c r="E32" s="7">
        <f>Table3[[#This Row],[SAR_head (mW/kg)]]*10^3/Table3[[#This Row],[Input Power (mW)]]</f>
        <v>255.33137578652</v>
      </c>
      <c r="F32" s="7">
        <f>Table3[[#This Row],[SAR_trunk (mW/kg)]]*10^3/Table3[[#This Row],[Input Power (mW)]]</f>
        <v>0.52267528491983817</v>
      </c>
      <c r="G32" s="7">
        <f>Table3[[#This Row],[psSAR10g_eyes (mW/kg)]]*10^3/Table3[[#This Row],[Input Power (mW)]]</f>
        <v>1871.0290689983817</v>
      </c>
      <c r="H32" s="7">
        <f>Table3[[#This Row],[psSAR10g_skin (mW/kg)]]*10^3/Table3[[#This Row],[Input Power (mW)]]</f>
        <v>10701.591023007581</v>
      </c>
      <c r="I32" s="7">
        <f>Table3[[#This Row],[psSAR10g_brain (mW/kg)]]*10^3/Table3[[#This Row],[Input Power (mW)]]</f>
        <v>4912.2235551278181</v>
      </c>
      <c r="J32" s="7">
        <f>Table3[[#This Row],[SAR_brain (mW/kg)]]*10^3/Table3[[#This Row],[Input Power (mW)]]</f>
        <v>11.910650054607272</v>
      </c>
    </row>
    <row r="33" spans="1:10" ht="15.75" customHeight="1" x14ac:dyDescent="0.35">
      <c r="A33" s="4">
        <v>3500</v>
      </c>
      <c r="B33" s="4" t="s">
        <v>27</v>
      </c>
      <c r="C33" s="4">
        <v>1</v>
      </c>
      <c r="D33" s="8">
        <f>Table3[[#This Row],[SAR_wholebody (mW/kg)]]*10^3/Table3[[#This Row],[Input Power (mW)]]</f>
        <v>24.959603932932364</v>
      </c>
      <c r="E33" s="8">
        <f>Table3[[#This Row],[SAR_head (mW/kg)]]*10^3/Table3[[#This Row],[Input Power (mW)]]</f>
        <v>266.19188958822366</v>
      </c>
      <c r="F33" s="8">
        <f>Table3[[#This Row],[SAR_trunk (mW/kg)]]*10^3/Table3[[#This Row],[Input Power (mW)]]</f>
        <v>0.5887929515614182</v>
      </c>
      <c r="G33" s="8">
        <f>Table3[[#This Row],[psSAR10g_eyes (mW/kg)]]*10^3/Table3[[#This Row],[Input Power (mW)]]</f>
        <v>1672.76863502524</v>
      </c>
      <c r="H33" s="8">
        <f>Table3[[#This Row],[psSAR10g_skin (mW/kg)]]*10^3/Table3[[#This Row],[Input Power (mW)]]</f>
        <v>8147.2091357282179</v>
      </c>
      <c r="I33" s="8">
        <f>Table3[[#This Row],[psSAR10g_brain (mW/kg)]]*10^3/Table3[[#This Row],[Input Power (mW)]]</f>
        <v>4163.6293304517822</v>
      </c>
      <c r="J33" s="8">
        <f>Table3[[#This Row],[SAR_brain (mW/kg)]]*10^3/Table3[[#This Row],[Input Power (mW)]]</f>
        <v>11.993429553861818</v>
      </c>
    </row>
    <row r="34" spans="1:10" ht="15.75" customHeight="1" x14ac:dyDescent="0.35">
      <c r="A34" s="5">
        <v>3500</v>
      </c>
      <c r="B34" s="5" t="s">
        <v>28</v>
      </c>
      <c r="C34" s="5">
        <v>1</v>
      </c>
      <c r="D34" s="9">
        <f>Table3[[#This Row],[SAR_wholebody (mW/kg)]]*10^3/Table3[[#This Row],[Input Power (mW)]]</f>
        <v>27.404636076787089</v>
      </c>
      <c r="E34" s="9">
        <f>Table3[[#This Row],[SAR_head (mW/kg)]]*10^3/Table3[[#This Row],[Input Power (mW)]]</f>
        <v>292.01864207304362</v>
      </c>
      <c r="F34" s="9">
        <f>Table3[[#This Row],[SAR_trunk (mW/kg)]]*10^3/Table3[[#This Row],[Input Power (mW)]]</f>
        <v>0.54844333666323086</v>
      </c>
      <c r="G34" s="9">
        <f>Table3[[#This Row],[psSAR10g_eyes (mW/kg)]]*10^3/Table3[[#This Row],[Input Power (mW)]]</f>
        <v>1667.1197649090145</v>
      </c>
      <c r="H34" s="9">
        <f>Table3[[#This Row],[psSAR10g_skin (mW/kg)]]*10^3/Table3[[#This Row],[Input Power (mW)]]</f>
        <v>12854.741650634798</v>
      </c>
      <c r="I34" s="9">
        <f>Table3[[#This Row],[psSAR10g_brain (mW/kg)]]*10^3/Table3[[#This Row],[Input Power (mW)]]</f>
        <v>4866.8152590121817</v>
      </c>
      <c r="J34" s="9">
        <f>Table3[[#This Row],[SAR_brain (mW/kg)]]*10^3/Table3[[#This Row],[Input Power (mW)]]</f>
        <v>11.532984184576364</v>
      </c>
    </row>
    <row r="35" spans="1:10" ht="15.75" customHeight="1" x14ac:dyDescent="0.35">
      <c r="A35" s="4">
        <v>3500</v>
      </c>
      <c r="B35" s="4" t="s">
        <v>29</v>
      </c>
      <c r="C35" s="4">
        <v>1</v>
      </c>
      <c r="D35" s="8">
        <f>Table3[[#This Row],[SAR_wholebody (mW/kg)]]*10^3/Table3[[#This Row],[Input Power (mW)]]</f>
        <v>15.545421570042727</v>
      </c>
      <c r="E35" s="8">
        <f>Table3[[#This Row],[SAR_head (mW/kg)]]*10^3/Table3[[#This Row],[Input Power (mW)]]</f>
        <v>170.70244676023873</v>
      </c>
      <c r="F35" s="8">
        <f>Table3[[#This Row],[SAR_trunk (mW/kg)]]*10^3/Table3[[#This Row],[Input Power (mW)]]</f>
        <v>0.40954536341893455</v>
      </c>
      <c r="G35" s="8">
        <f>Table3[[#This Row],[psSAR10g_eyes (mW/kg)]]*10^3/Table3[[#This Row],[Input Power (mW)]]</f>
        <v>472.61406421103823</v>
      </c>
      <c r="H35" s="8">
        <f>Table3[[#This Row],[psSAR10g_skin (mW/kg)]]*10^3/Table3[[#This Row],[Input Power (mW)]]</f>
        <v>6945.5905568783101</v>
      </c>
      <c r="I35" s="8">
        <f>Table3[[#This Row],[psSAR10g_brain (mW/kg)]]*10^3/Table3[[#This Row],[Input Power (mW)]]</f>
        <v>1854.4638401933271</v>
      </c>
      <c r="J35" s="8">
        <f>Table3[[#This Row],[SAR_brain (mW/kg)]]*10^3/Table3[[#This Row],[Input Power (mW)]]</f>
        <v>15.331540558936364</v>
      </c>
    </row>
    <row r="36" spans="1:10" ht="15.75" customHeight="1" x14ac:dyDescent="0.35">
      <c r="A36" s="5">
        <v>3500</v>
      </c>
      <c r="B36" s="5" t="s">
        <v>30</v>
      </c>
      <c r="C36" s="5">
        <v>1</v>
      </c>
      <c r="D36" s="9">
        <f>Table3[[#This Row],[SAR_wholebody (mW/kg)]]*10^3/Table3[[#This Row],[Input Power (mW)]]</f>
        <v>15.490948555526835</v>
      </c>
      <c r="E36" s="9">
        <f>Table3[[#This Row],[SAR_head (mW/kg)]]*10^3/Table3[[#This Row],[Input Power (mW)]]</f>
        <v>176.42911210893382</v>
      </c>
      <c r="F36" s="9">
        <f>Table3[[#This Row],[SAR_trunk (mW/kg)]]*10^3/Table3[[#This Row],[Input Power (mW)]]</f>
        <v>0.4596910162531036</v>
      </c>
      <c r="G36" s="9">
        <f>Table3[[#This Row],[psSAR10g_eyes (mW/kg)]]*10^3/Table3[[#This Row],[Input Power (mW)]]</f>
        <v>397.00917504443458</v>
      </c>
      <c r="H36" s="9">
        <f>Table3[[#This Row],[psSAR10g_skin (mW/kg)]]*10^3/Table3[[#This Row],[Input Power (mW)]]</f>
        <v>6168.5060925496364</v>
      </c>
      <c r="I36" s="9">
        <f>Table3[[#This Row],[psSAR10g_brain (mW/kg)]]*10^3/Table3[[#This Row],[Input Power (mW)]]</f>
        <v>2055.0808169731094</v>
      </c>
      <c r="J36" s="9">
        <f>Table3[[#This Row],[SAR_brain (mW/kg)]]*10^3/Table3[[#This Row],[Input Power (mW)]]</f>
        <v>16.657035259876363</v>
      </c>
    </row>
    <row r="37" spans="1:10" ht="15.75" customHeight="1" thickBot="1" x14ac:dyDescent="0.4">
      <c r="A37" s="6">
        <v>3500</v>
      </c>
      <c r="B37" s="6" t="s">
        <v>31</v>
      </c>
      <c r="C37" s="6">
        <v>1</v>
      </c>
      <c r="D37" s="10">
        <f>Table3[[#This Row],[SAR_wholebody (mW/kg)]]*10^3/Table3[[#This Row],[Input Power (mW)]]</f>
        <v>16.191373647988982</v>
      </c>
      <c r="E37" s="10">
        <f>Table3[[#This Row],[SAR_head (mW/kg)]]*10^3/Table3[[#This Row],[Input Power (mW)]]</f>
        <v>169.89368285820129</v>
      </c>
      <c r="F37" s="10">
        <f>Table3[[#This Row],[SAR_trunk (mW/kg)]]*10^3/Table3[[#This Row],[Input Power (mW)]]</f>
        <v>0.4722852551667982</v>
      </c>
      <c r="G37" s="10">
        <f>Table3[[#This Row],[psSAR10g_eyes (mW/kg)]]*10^3/Table3[[#This Row],[Input Power (mW)]]</f>
        <v>450.50599537587271</v>
      </c>
      <c r="H37" s="10">
        <f>Table3[[#This Row],[psSAR10g_skin (mW/kg)]]*10^3/Table3[[#This Row],[Input Power (mW)]]</f>
        <v>8014.0582456169996</v>
      </c>
      <c r="I37" s="10">
        <f>Table3[[#This Row],[psSAR10g_brain (mW/kg)]]*10^3/Table3[[#This Row],[Input Power (mW)]]</f>
        <v>1645.6101507600365</v>
      </c>
      <c r="J37" s="10">
        <f>Table3[[#This Row],[SAR_brain (mW/kg)]]*10^3/Table3[[#This Row],[Input Power (mW)]]</f>
        <v>14.402424411818183</v>
      </c>
    </row>
    <row r="38" spans="1:10" ht="15.75" customHeight="1" x14ac:dyDescent="0.35">
      <c r="A38" s="3">
        <v>5200</v>
      </c>
      <c r="B38" s="3" t="s">
        <v>26</v>
      </c>
      <c r="C38" s="3">
        <v>1</v>
      </c>
      <c r="D38" s="7">
        <f>Table3[[#This Row],[SAR_wholebody (mW/kg)]]*10^3/Table3[[#This Row],[Input Power (mW)]]</f>
        <v>20.493841219843773</v>
      </c>
      <c r="E38" s="7">
        <f>Table3[[#This Row],[SAR_head (mW/kg)]]*10^3/Table3[[#This Row],[Input Power (mW)]]</f>
        <v>215.54420696768489</v>
      </c>
      <c r="F38" s="7">
        <f>Table3[[#This Row],[SAR_trunk (mW/kg)]]*10^3/Table3[[#This Row],[Input Power (mW)]]</f>
        <v>0.84524552791006413</v>
      </c>
      <c r="G38" s="7">
        <f>Table3[[#This Row],[psSAR10g_eyes (mW/kg)]]*10^3/Table3[[#This Row],[Input Power (mW)]]</f>
        <v>1063.7332378590265</v>
      </c>
      <c r="H38" s="7">
        <f>Table3[[#This Row],[psSAR10g_skin (mW/kg)]]*10^3/Table3[[#This Row],[Input Power (mW)]]</f>
        <v>9207.5682636476795</v>
      </c>
      <c r="I38" s="7">
        <f>Table3[[#This Row],[psSAR10g_brain (mW/kg)]]*10^3/Table3[[#This Row],[Input Power (mW)]]</f>
        <v>5028.3814699000941</v>
      </c>
      <c r="J38" s="7">
        <f>Table3[[#This Row],[SAR_brain (mW/kg)]]*10^3/Table3[[#This Row],[Input Power (mW)]]</f>
        <v>3.0831261921113207</v>
      </c>
    </row>
    <row r="39" spans="1:10" ht="15.75" customHeight="1" x14ac:dyDescent="0.35">
      <c r="A39" s="4">
        <v>5200</v>
      </c>
      <c r="B39" s="4" t="s">
        <v>27</v>
      </c>
      <c r="C39" s="4">
        <v>1</v>
      </c>
      <c r="D39" s="8">
        <f>Table3[[#This Row],[SAR_wholebody (mW/kg)]]*10^3/Table3[[#This Row],[Input Power (mW)]]</f>
        <v>18.937621740181321</v>
      </c>
      <c r="E39" s="8">
        <f>Table3[[#This Row],[SAR_head (mW/kg)]]*10^3/Table3[[#This Row],[Input Power (mW)]]</f>
        <v>214.72339927232829</v>
      </c>
      <c r="F39" s="8">
        <f>Table3[[#This Row],[SAR_trunk (mW/kg)]]*10^3/Table3[[#This Row],[Input Power (mW)]]</f>
        <v>0.72457932368755085</v>
      </c>
      <c r="G39" s="8">
        <f>Table3[[#This Row],[psSAR10g_eyes (mW/kg)]]*10^3/Table3[[#This Row],[Input Power (mW)]]</f>
        <v>910.01349387866424</v>
      </c>
      <c r="H39" s="8">
        <f>Table3[[#This Row],[psSAR10g_skin (mW/kg)]]*10^3/Table3[[#This Row],[Input Power (mW)]]</f>
        <v>6693.5273833741885</v>
      </c>
      <c r="I39" s="8">
        <f>Table3[[#This Row],[psSAR10g_brain (mW/kg)]]*10^3/Table3[[#This Row],[Input Power (mW)]]</f>
        <v>4455.188224339302</v>
      </c>
      <c r="J39" s="8">
        <f>Table3[[#This Row],[SAR_brain (mW/kg)]]*10^3/Table3[[#This Row],[Input Power (mW)]]</f>
        <v>3.3561128070245281</v>
      </c>
    </row>
    <row r="40" spans="1:10" ht="15.75" customHeight="1" x14ac:dyDescent="0.35">
      <c r="A40" s="5">
        <v>5200</v>
      </c>
      <c r="B40" s="5" t="s">
        <v>28</v>
      </c>
      <c r="C40" s="5">
        <v>1</v>
      </c>
      <c r="D40" s="9">
        <f>Table3[[#This Row],[SAR_wholebody (mW/kg)]]*10^3/Table3[[#This Row],[Input Power (mW)]]</f>
        <v>21.944032401547926</v>
      </c>
      <c r="E40" s="9">
        <f>Table3[[#This Row],[SAR_head (mW/kg)]]*10^3/Table3[[#This Row],[Input Power (mW)]]</f>
        <v>197.98085659669999</v>
      </c>
      <c r="F40" s="9">
        <f>Table3[[#This Row],[SAR_trunk (mW/kg)]]*10^3/Table3[[#This Row],[Input Power (mW)]]</f>
        <v>0.88315893468149798</v>
      </c>
      <c r="G40" s="9">
        <f>Table3[[#This Row],[psSAR10g_eyes (mW/kg)]]*10^3/Table3[[#This Row],[Input Power (mW)]]</f>
        <v>923.09119408821118</v>
      </c>
      <c r="H40" s="9">
        <f>Table3[[#This Row],[psSAR10g_skin (mW/kg)]]*10^3/Table3[[#This Row],[Input Power (mW)]]</f>
        <v>11162.995634928488</v>
      </c>
      <c r="I40" s="9">
        <f>Table3[[#This Row],[psSAR10g_brain (mW/kg)]]*10^3/Table3[[#This Row],[Input Power (mW)]]</f>
        <v>5045.9214956570004</v>
      </c>
      <c r="J40" s="9">
        <f>Table3[[#This Row],[SAR_brain (mW/kg)]]*10^3/Table3[[#This Row],[Input Power (mW)]]</f>
        <v>2.6028620684660377</v>
      </c>
    </row>
    <row r="41" spans="1:10" ht="15.75" customHeight="1" x14ac:dyDescent="0.35">
      <c r="A41" s="4">
        <v>5200</v>
      </c>
      <c r="B41" s="4" t="s">
        <v>29</v>
      </c>
      <c r="C41" s="4">
        <v>1</v>
      </c>
      <c r="D41" s="8">
        <f>Table3[[#This Row],[SAR_wholebody (mW/kg)]]*10^3/Table3[[#This Row],[Input Power (mW)]]</f>
        <v>14.156123380000206</v>
      </c>
      <c r="E41" s="8">
        <f>Table3[[#This Row],[SAR_head (mW/kg)]]*10^3/Table3[[#This Row],[Input Power (mW)]]</f>
        <v>156.65048408499285</v>
      </c>
      <c r="F41" s="8">
        <f>Table3[[#This Row],[SAR_trunk (mW/kg)]]*10^3/Table3[[#This Row],[Input Power (mW)]]</f>
        <v>0.6727170304397283</v>
      </c>
      <c r="G41" s="8">
        <f>Table3[[#This Row],[psSAR10g_eyes (mW/kg)]]*10^3/Table3[[#This Row],[Input Power (mW)]]</f>
        <v>365.74401514020565</v>
      </c>
      <c r="H41" s="8">
        <f>Table3[[#This Row],[psSAR10g_skin (mW/kg)]]*10^3/Table3[[#This Row],[Input Power (mW)]]</f>
        <v>6616.9792627886791</v>
      </c>
      <c r="I41" s="8">
        <f>Table3[[#This Row],[psSAR10g_brain (mW/kg)]]*10^3/Table3[[#This Row],[Input Power (mW)]]</f>
        <v>1529.9859885543754</v>
      </c>
      <c r="J41" s="8">
        <f>Table3[[#This Row],[SAR_brain (mW/kg)]]*10^3/Table3[[#This Row],[Input Power (mW)]]</f>
        <v>5.2372054597981128</v>
      </c>
    </row>
    <row r="42" spans="1:10" ht="15.75" customHeight="1" x14ac:dyDescent="0.35">
      <c r="A42" s="5">
        <v>5200</v>
      </c>
      <c r="B42" s="5" t="s">
        <v>30</v>
      </c>
      <c r="C42" s="5">
        <v>1</v>
      </c>
      <c r="D42" s="9">
        <f>Table3[[#This Row],[SAR_wholebody (mW/kg)]]*10^3/Table3[[#This Row],[Input Power (mW)]]</f>
        <v>13.92741538541266</v>
      </c>
      <c r="E42" s="9">
        <f>Table3[[#This Row],[SAR_head (mW/kg)]]*10^3/Table3[[#This Row],[Input Power (mW)]]</f>
        <v>161.9729706507853</v>
      </c>
      <c r="F42" s="9">
        <f>Table3[[#This Row],[SAR_trunk (mW/kg)]]*10^3/Table3[[#This Row],[Input Power (mW)]]</f>
        <v>0.65109105813591317</v>
      </c>
      <c r="G42" s="9">
        <f>Table3[[#This Row],[psSAR10g_eyes (mW/kg)]]*10^3/Table3[[#This Row],[Input Power (mW)]]</f>
        <v>300.60999934891885</v>
      </c>
      <c r="H42" s="9">
        <f>Table3[[#This Row],[psSAR10g_skin (mW/kg)]]*10^3/Table3[[#This Row],[Input Power (mW)]]</f>
        <v>6082.1819647190578</v>
      </c>
      <c r="I42" s="9">
        <f>Table3[[#This Row],[psSAR10g_brain (mW/kg)]]*10^3/Table3[[#This Row],[Input Power (mW)]]</f>
        <v>1578.7405723126774</v>
      </c>
      <c r="J42" s="9">
        <f>Table3[[#This Row],[SAR_brain (mW/kg)]]*10^3/Table3[[#This Row],[Input Power (mW)]]</f>
        <v>5.3147842673452841</v>
      </c>
    </row>
    <row r="43" spans="1:10" ht="15.75" customHeight="1" thickBot="1" x14ac:dyDescent="0.4">
      <c r="A43" s="6">
        <v>5200</v>
      </c>
      <c r="B43" s="6" t="s">
        <v>31</v>
      </c>
      <c r="C43" s="6">
        <v>1</v>
      </c>
      <c r="D43" s="10">
        <f>Table3[[#This Row],[SAR_wholebody (mW/kg)]]*10^3/Table3[[#This Row],[Input Power (mW)]]</f>
        <v>14.708756844568285</v>
      </c>
      <c r="E43" s="10">
        <f>Table3[[#This Row],[SAR_head (mW/kg)]]*10^3/Table3[[#This Row],[Input Power (mW)]]</f>
        <v>159.87784175260077</v>
      </c>
      <c r="F43" s="10">
        <f>Table3[[#This Row],[SAR_trunk (mW/kg)]]*10^3/Table3[[#This Row],[Input Power (mW)]]</f>
        <v>0.64442173215383403</v>
      </c>
      <c r="G43" s="10">
        <f>Table3[[#This Row],[psSAR10g_eyes (mW/kg)]]*10^3/Table3[[#This Row],[Input Power (mW)]]</f>
        <v>460.73414815493965</v>
      </c>
      <c r="H43" s="10">
        <f>Table3[[#This Row],[psSAR10g_skin (mW/kg)]]*10^3/Table3[[#This Row],[Input Power (mW)]]</f>
        <v>7226.3502008960386</v>
      </c>
      <c r="I43" s="10">
        <f>Table3[[#This Row],[psSAR10g_brain (mW/kg)]]*10^3/Table3[[#This Row],[Input Power (mW)]]</f>
        <v>1567.125250249215</v>
      </c>
      <c r="J43" s="10">
        <f>Table3[[#This Row],[SAR_brain (mW/kg)]]*10^3/Table3[[#This Row],[Input Power (mW)]]</f>
        <v>4.9047998914018862</v>
      </c>
    </row>
    <row r="44" spans="1:10" ht="15.75" customHeight="1" x14ac:dyDescent="0.35">
      <c r="A44" s="3">
        <v>5800</v>
      </c>
      <c r="B44" s="3" t="s">
        <v>26</v>
      </c>
      <c r="C44" s="3">
        <v>1</v>
      </c>
      <c r="D44" s="7">
        <f>Table3[[#This Row],[SAR_wholebody (mW/kg)]]*10^3/Table3[[#This Row],[Input Power (mW)]]</f>
        <v>19.823377722579071</v>
      </c>
      <c r="E44" s="7">
        <f>Table3[[#This Row],[SAR_head (mW/kg)]]*10^3/Table3[[#This Row],[Input Power (mW)]]</f>
        <v>196.42057248289444</v>
      </c>
      <c r="F44" s="7">
        <f>Table3[[#This Row],[SAR_trunk (mW/kg)]]*10^3/Table3[[#This Row],[Input Power (mW)]]</f>
        <v>0.68612603848646847</v>
      </c>
      <c r="G44" s="7">
        <f>Table3[[#This Row],[psSAR10g_eyes (mW/kg)]]*10^3/Table3[[#This Row],[Input Power (mW)]]</f>
        <v>709.29714176375739</v>
      </c>
      <c r="H44" s="7">
        <f>Table3[[#This Row],[psSAR10g_skin (mW/kg)]]*10^3/Table3[[#This Row],[Input Power (mW)]]</f>
        <v>9324.4283137690181</v>
      </c>
      <c r="I44" s="7">
        <f>Table3[[#This Row],[psSAR10g_brain (mW/kg)]]*10^3/Table3[[#This Row],[Input Power (mW)]]</f>
        <v>4941.2398149097035</v>
      </c>
      <c r="J44" s="7">
        <f>Table3[[#This Row],[SAR_brain (mW/kg)]]*10^3/Table3[[#This Row],[Input Power (mW)]]</f>
        <v>2.0934118170722225</v>
      </c>
    </row>
    <row r="45" spans="1:10" ht="15.75" customHeight="1" x14ac:dyDescent="0.35">
      <c r="A45" s="4">
        <v>5800</v>
      </c>
      <c r="B45" s="4" t="s">
        <v>27</v>
      </c>
      <c r="C45" s="4">
        <v>1</v>
      </c>
      <c r="D45" s="8">
        <f>Table3[[#This Row],[SAR_wholebody (mW/kg)]]*10^3/Table3[[#This Row],[Input Power (mW)]]</f>
        <v>18.407756124998983</v>
      </c>
      <c r="E45" s="8">
        <f>Table3[[#This Row],[SAR_head (mW/kg)]]*10^3/Table3[[#This Row],[Input Power (mW)]]</f>
        <v>205.61063707037962</v>
      </c>
      <c r="F45" s="8">
        <f>Table3[[#This Row],[SAR_trunk (mW/kg)]]*10^3/Table3[[#This Row],[Input Power (mW)]]</f>
        <v>0.59361628588546111</v>
      </c>
      <c r="G45" s="8">
        <f>Table3[[#This Row],[psSAR10g_eyes (mW/kg)]]*10^3/Table3[[#This Row],[Input Power (mW)]]</f>
        <v>691.94918895682224</v>
      </c>
      <c r="H45" s="8">
        <f>Table3[[#This Row],[psSAR10g_skin (mW/kg)]]*10^3/Table3[[#This Row],[Input Power (mW)]]</f>
        <v>6914.311063204741</v>
      </c>
      <c r="I45" s="8">
        <f>Table3[[#This Row],[psSAR10g_brain (mW/kg)]]*10^3/Table3[[#This Row],[Input Power (mW)]]</f>
        <v>4414.4454237585187</v>
      </c>
      <c r="J45" s="8">
        <f>Table3[[#This Row],[SAR_brain (mW/kg)]]*10^3/Table3[[#This Row],[Input Power (mW)]]</f>
        <v>2.4091449495981476</v>
      </c>
    </row>
    <row r="46" spans="1:10" ht="15.75" customHeight="1" x14ac:dyDescent="0.35">
      <c r="A46" s="5">
        <v>5800</v>
      </c>
      <c r="B46" s="5" t="s">
        <v>28</v>
      </c>
      <c r="C46" s="5">
        <v>1</v>
      </c>
      <c r="D46" s="9">
        <f>Table3[[#This Row],[SAR_wholebody (mW/kg)]]*10^3/Table3[[#This Row],[Input Power (mW)]]</f>
        <v>20.855587650705555</v>
      </c>
      <c r="E46" s="9">
        <f>Table3[[#This Row],[SAR_head (mW/kg)]]*10^3/Table3[[#This Row],[Input Power (mW)]]</f>
        <v>191.17085559787964</v>
      </c>
      <c r="F46" s="9">
        <f>Table3[[#This Row],[SAR_trunk (mW/kg)]]*10^3/Table3[[#This Row],[Input Power (mW)]]</f>
        <v>0.68536391442362965</v>
      </c>
      <c r="G46" s="9">
        <f>Table3[[#This Row],[psSAR10g_eyes (mW/kg)]]*10^3/Table3[[#This Row],[Input Power (mW)]]</f>
        <v>736.87886560806487</v>
      </c>
      <c r="H46" s="9">
        <f>Table3[[#This Row],[psSAR10g_skin (mW/kg)]]*10^3/Table3[[#This Row],[Input Power (mW)]]</f>
        <v>11148.685074275169</v>
      </c>
      <c r="I46" s="9">
        <f>Table3[[#This Row],[psSAR10g_brain (mW/kg)]]*10^3/Table3[[#This Row],[Input Power (mW)]]</f>
        <v>4971.0973650658889</v>
      </c>
      <c r="J46" s="9">
        <f>Table3[[#This Row],[SAR_brain (mW/kg)]]*10^3/Table3[[#This Row],[Input Power (mW)]]</f>
        <v>1.6415902179643642</v>
      </c>
    </row>
    <row r="47" spans="1:10" ht="15.75" customHeight="1" x14ac:dyDescent="0.35">
      <c r="A47" s="4">
        <v>5800</v>
      </c>
      <c r="B47" s="4" t="s">
        <v>29</v>
      </c>
      <c r="C47" s="4">
        <v>1</v>
      </c>
      <c r="D47" s="8">
        <f>Table3[[#This Row],[SAR_wholebody (mW/kg)]]*10^3/Table3[[#This Row],[Input Power (mW)]]</f>
        <v>14.000845232087924</v>
      </c>
      <c r="E47" s="8">
        <f>Table3[[#This Row],[SAR_head (mW/kg)]]*10^3/Table3[[#This Row],[Input Power (mW)]]</f>
        <v>146.42761093520741</v>
      </c>
      <c r="F47" s="8">
        <f>Table3[[#This Row],[SAR_trunk (mW/kg)]]*10^3/Table3[[#This Row],[Input Power (mW)]]</f>
        <v>0.57690469370887409</v>
      </c>
      <c r="G47" s="8">
        <f>Table3[[#This Row],[psSAR10g_eyes (mW/kg)]]*10^3/Table3[[#This Row],[Input Power (mW)]]</f>
        <v>336.68072334745926</v>
      </c>
      <c r="H47" s="8">
        <f>Table3[[#This Row],[psSAR10g_skin (mW/kg)]]*10^3/Table3[[#This Row],[Input Power (mW)]]</f>
        <v>6006.5944898907219</v>
      </c>
      <c r="I47" s="8">
        <f>Table3[[#This Row],[psSAR10g_brain (mW/kg)]]*10^3/Table3[[#This Row],[Input Power (mW)]]</f>
        <v>1354.9849489209998</v>
      </c>
      <c r="J47" s="8">
        <f>Table3[[#This Row],[SAR_brain (mW/kg)]]*10^3/Table3[[#This Row],[Input Power (mW)]]</f>
        <v>3.3549997670962965</v>
      </c>
    </row>
    <row r="48" spans="1:10" ht="15.75" customHeight="1" x14ac:dyDescent="0.35">
      <c r="A48" s="5">
        <v>5800</v>
      </c>
      <c r="B48" s="5" t="s">
        <v>30</v>
      </c>
      <c r="C48" s="5">
        <v>1</v>
      </c>
      <c r="D48" s="9">
        <f>Table3[[#This Row],[SAR_wholebody (mW/kg)]]*10^3/Table3[[#This Row],[Input Power (mW)]]</f>
        <v>14.005786945633075</v>
      </c>
      <c r="E48" s="9">
        <f>Table3[[#This Row],[SAR_head (mW/kg)]]*10^3/Table3[[#This Row],[Input Power (mW)]]</f>
        <v>157.24403049796982</v>
      </c>
      <c r="F48" s="9">
        <f>Table3[[#This Row],[SAR_trunk (mW/kg)]]*10^3/Table3[[#This Row],[Input Power (mW)]]</f>
        <v>0.51918680673885742</v>
      </c>
      <c r="G48" s="9">
        <f>Table3[[#This Row],[psSAR10g_eyes (mW/kg)]]*10^3/Table3[[#This Row],[Input Power (mW)]]</f>
        <v>260.27815563718889</v>
      </c>
      <c r="H48" s="9">
        <f>Table3[[#This Row],[psSAR10g_skin (mW/kg)]]*10^3/Table3[[#This Row],[Input Power (mW)]]</f>
        <v>5776.2438639020002</v>
      </c>
      <c r="I48" s="9">
        <f>Table3[[#This Row],[psSAR10g_brain (mW/kg)]]*10^3/Table3[[#This Row],[Input Power (mW)]]</f>
        <v>1443.8160734873538</v>
      </c>
      <c r="J48" s="9">
        <f>Table3[[#This Row],[SAR_brain (mW/kg)]]*10^3/Table3[[#This Row],[Input Power (mW)]]</f>
        <v>3.5114937854481485</v>
      </c>
    </row>
    <row r="49" spans="1:10" ht="15.75" customHeight="1" thickBot="1" x14ac:dyDescent="0.4">
      <c r="A49" s="6">
        <v>5800</v>
      </c>
      <c r="B49" s="6" t="s">
        <v>31</v>
      </c>
      <c r="C49" s="6">
        <v>1</v>
      </c>
      <c r="D49" s="10">
        <f>Table3[[#This Row],[SAR_wholebody (mW/kg)]]*10^3/Table3[[#This Row],[Input Power (mW)]]</f>
        <v>14.211778717106871</v>
      </c>
      <c r="E49" s="10">
        <f>Table3[[#This Row],[SAR_head (mW/kg)]]*10^3/Table3[[#This Row],[Input Power (mW)]]</f>
        <v>144.60173150218353</v>
      </c>
      <c r="F49" s="10">
        <f>Table3[[#This Row],[SAR_trunk (mW/kg)]]*10^3/Table3[[#This Row],[Input Power (mW)]]</f>
        <v>0.55018054551157036</v>
      </c>
      <c r="G49" s="10">
        <f>Table3[[#This Row],[psSAR10g_eyes (mW/kg)]]*10^3/Table3[[#This Row],[Input Power (mW)]]</f>
        <v>436.77836102367968</v>
      </c>
      <c r="H49" s="10">
        <f>Table3[[#This Row],[psSAR10g_skin (mW/kg)]]*10^3/Table3[[#This Row],[Input Power (mW)]]</f>
        <v>6524.6232389078523</v>
      </c>
      <c r="I49" s="10">
        <f>Table3[[#This Row],[psSAR10g_brain (mW/kg)]]*10^3/Table3[[#This Row],[Input Power (mW)]]</f>
        <v>1270.8582791996594</v>
      </c>
      <c r="J49" s="10">
        <f>Table3[[#This Row],[SAR_brain (mW/kg)]]*10^3/Table3[[#This Row],[Input Power (mW)]]</f>
        <v>3.0306522481388884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5"/>
  <sheetViews>
    <sheetView zoomScale="75" zoomScaleNormal="248" workbookViewId="0">
      <selection activeCell="J1" sqref="J1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26.3632812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9</v>
      </c>
      <c r="C2" s="3">
        <v>267</v>
      </c>
      <c r="D2" s="7">
        <v>0.74256295822975205</v>
      </c>
      <c r="E2" s="7">
        <v>1.57618909519237</v>
      </c>
      <c r="F2" s="7">
        <v>0.60898255284876901</v>
      </c>
      <c r="G2" s="7">
        <v>13.7044029185951</v>
      </c>
      <c r="H2" s="7">
        <v>13.7044029185951</v>
      </c>
      <c r="I2" s="7">
        <v>11.852722713221601</v>
      </c>
      <c r="J2" s="7">
        <v>1.5801807761225</v>
      </c>
    </row>
    <row r="3" spans="1:10" ht="15.75" customHeight="1" x14ac:dyDescent="0.35">
      <c r="A3" s="4">
        <v>700</v>
      </c>
      <c r="B3" s="4" t="s">
        <v>10</v>
      </c>
      <c r="C3" s="4">
        <v>267</v>
      </c>
      <c r="D3" s="8">
        <v>0.78033684433916295</v>
      </c>
      <c r="E3" s="8">
        <v>1.4137589773596</v>
      </c>
      <c r="F3" s="8">
        <v>1.0673442964284801</v>
      </c>
      <c r="G3" s="8">
        <v>11.8647127446167</v>
      </c>
      <c r="H3" s="8">
        <v>22.107894684924801</v>
      </c>
      <c r="I3" s="8">
        <v>9.9595139597071398</v>
      </c>
      <c r="J3" s="8">
        <v>0.96467742951830004</v>
      </c>
    </row>
    <row r="4" spans="1:10" ht="15.75" customHeight="1" x14ac:dyDescent="0.35">
      <c r="A4" s="5">
        <v>700</v>
      </c>
      <c r="B4" s="5" t="s">
        <v>11</v>
      </c>
      <c r="C4" s="5">
        <v>267</v>
      </c>
      <c r="D4" s="9">
        <v>0.78878525726348903</v>
      </c>
      <c r="E4" s="9">
        <v>1.2058935515442499</v>
      </c>
      <c r="F4" s="9">
        <v>0.82521798826576598</v>
      </c>
      <c r="G4" s="9">
        <v>10.792384307506</v>
      </c>
      <c r="H4" s="9">
        <v>13.5210002281096</v>
      </c>
      <c r="I4" s="9">
        <v>6.96875962107175</v>
      </c>
      <c r="J4" s="9">
        <v>1.1576158846932001</v>
      </c>
    </row>
    <row r="5" spans="1:10" ht="15.75" customHeight="1" x14ac:dyDescent="0.35">
      <c r="A5" s="4">
        <v>700</v>
      </c>
      <c r="B5" s="4" t="s">
        <v>12</v>
      </c>
      <c r="C5" s="4">
        <v>267</v>
      </c>
      <c r="D5" s="8">
        <v>0.77468324272781797</v>
      </c>
      <c r="E5" s="8">
        <v>0.82739272359091698</v>
      </c>
      <c r="F5" s="8">
        <v>1.3152708888910201</v>
      </c>
      <c r="G5" s="8">
        <v>5.9523473485638103</v>
      </c>
      <c r="H5" s="8">
        <v>18.246116519704199</v>
      </c>
      <c r="I5" s="8">
        <v>4.3360371406990303</v>
      </c>
      <c r="J5" s="8">
        <v>0.4638565062885</v>
      </c>
    </row>
    <row r="6" spans="1:10" ht="15.75" customHeight="1" x14ac:dyDescent="0.35">
      <c r="A6" s="5">
        <v>700</v>
      </c>
      <c r="B6" s="5" t="s">
        <v>13</v>
      </c>
      <c r="C6" s="5">
        <v>267</v>
      </c>
      <c r="D6" s="9">
        <v>0.75469289207728796</v>
      </c>
      <c r="E6" s="9">
        <v>1.4461925860343201</v>
      </c>
      <c r="F6" s="9">
        <v>0.55890853813608798</v>
      </c>
      <c r="G6" s="9">
        <v>12.7514211600697</v>
      </c>
      <c r="H6" s="9">
        <v>14.014714250312799</v>
      </c>
      <c r="I6" s="9">
        <v>10.5177920807297</v>
      </c>
      <c r="J6" s="9">
        <v>1.4944389530200999</v>
      </c>
    </row>
    <row r="7" spans="1:10" ht="15.75" customHeight="1" x14ac:dyDescent="0.35">
      <c r="A7" s="4">
        <v>700</v>
      </c>
      <c r="B7" s="4" t="s">
        <v>14</v>
      </c>
      <c r="C7" s="4">
        <v>267</v>
      </c>
      <c r="D7" s="8">
        <v>0.77116203018156304</v>
      </c>
      <c r="E7" s="8">
        <v>1.3113428819072801</v>
      </c>
      <c r="F7" s="8">
        <v>1.05829589545071</v>
      </c>
      <c r="G7" s="8">
        <v>13.6965158251049</v>
      </c>
      <c r="H7" s="8">
        <v>21.557025276119798</v>
      </c>
      <c r="I7" s="8">
        <v>10.510001310926</v>
      </c>
      <c r="J7" s="8">
        <v>0.99154923315369992</v>
      </c>
    </row>
    <row r="8" spans="1:10" ht="15.75" customHeight="1" x14ac:dyDescent="0.35">
      <c r="A8" s="5">
        <v>700</v>
      </c>
      <c r="B8" s="5" t="s">
        <v>15</v>
      </c>
      <c r="C8" s="5">
        <v>267</v>
      </c>
      <c r="D8" s="9">
        <v>0.74021460649303705</v>
      </c>
      <c r="E8" s="9">
        <v>1.6036070883462199</v>
      </c>
      <c r="F8" s="9">
        <v>0.58184967458442505</v>
      </c>
      <c r="G8" s="9">
        <v>14.6646970393505</v>
      </c>
      <c r="H8" s="9">
        <v>14.6646970393505</v>
      </c>
      <c r="I8" s="9">
        <v>13.341641877426801</v>
      </c>
      <c r="J8" s="9">
        <v>1.6873862084265998</v>
      </c>
    </row>
    <row r="9" spans="1:10" ht="15.75" customHeight="1" thickBot="1" x14ac:dyDescent="0.4">
      <c r="A9" s="6">
        <v>700</v>
      </c>
      <c r="B9" s="6" t="s">
        <v>16</v>
      </c>
      <c r="C9" s="6">
        <v>267</v>
      </c>
      <c r="D9" s="10">
        <v>0.77530720363258998</v>
      </c>
      <c r="E9" s="10">
        <v>1.2903631823356201</v>
      </c>
      <c r="F9" s="10">
        <v>1.14642653288007</v>
      </c>
      <c r="G9" s="10">
        <v>11.8104126412378</v>
      </c>
      <c r="H9" s="10">
        <v>21.992375646477399</v>
      </c>
      <c r="I9" s="10">
        <v>9.5459263210739707</v>
      </c>
      <c r="J9" s="10">
        <v>0.91209794289099999</v>
      </c>
    </row>
    <row r="10" spans="1:10" ht="15.75" customHeight="1" x14ac:dyDescent="0.35">
      <c r="A10" s="3">
        <v>835</v>
      </c>
      <c r="B10" s="3" t="s">
        <v>9</v>
      </c>
      <c r="C10" s="3">
        <v>228</v>
      </c>
      <c r="D10" s="7">
        <v>0.51133193555248202</v>
      </c>
      <c r="E10" s="7">
        <v>0.94337688130293096</v>
      </c>
      <c r="F10" s="7">
        <v>0.56320460591735699</v>
      </c>
      <c r="G10" s="7">
        <v>5.0387776442296497</v>
      </c>
      <c r="H10" s="7">
        <v>6.4922117212210297</v>
      </c>
      <c r="I10" s="7">
        <v>6.9604127802255</v>
      </c>
      <c r="J10" s="7">
        <v>1.1749174163442999</v>
      </c>
    </row>
    <row r="11" spans="1:10" ht="15.75" customHeight="1" x14ac:dyDescent="0.35">
      <c r="A11" s="4">
        <v>835</v>
      </c>
      <c r="B11" s="4" t="s">
        <v>10</v>
      </c>
      <c r="C11" s="4">
        <v>228</v>
      </c>
      <c r="D11" s="8">
        <v>0.52740470662012695</v>
      </c>
      <c r="E11" s="8">
        <v>0.83574926897766899</v>
      </c>
      <c r="F11" s="8">
        <v>0.86408055654798299</v>
      </c>
      <c r="G11" s="8">
        <v>4.1637849852987499</v>
      </c>
      <c r="H11" s="8">
        <v>6.1500624530851997</v>
      </c>
      <c r="I11" s="8">
        <v>7.82324552600363</v>
      </c>
      <c r="J11" s="8">
        <v>0.90764076158689999</v>
      </c>
    </row>
    <row r="12" spans="1:10" ht="15.75" customHeight="1" x14ac:dyDescent="0.35">
      <c r="A12" s="5">
        <v>835</v>
      </c>
      <c r="B12" s="5" t="s">
        <v>11</v>
      </c>
      <c r="C12" s="5">
        <v>228</v>
      </c>
      <c r="D12" s="9">
        <v>0.56797972563728105</v>
      </c>
      <c r="E12" s="9">
        <v>0.85623513532425699</v>
      </c>
      <c r="F12" s="9">
        <v>0.73426714982920605</v>
      </c>
      <c r="G12" s="9">
        <v>5.1860795471227599</v>
      </c>
      <c r="H12" s="9">
        <v>6.2730418167351001</v>
      </c>
      <c r="I12" s="9">
        <v>5.1879202744449797</v>
      </c>
      <c r="J12" s="9">
        <v>1.0200382288449001</v>
      </c>
    </row>
    <row r="13" spans="1:10" ht="15.75" customHeight="1" x14ac:dyDescent="0.35">
      <c r="A13" s="4">
        <v>835</v>
      </c>
      <c r="B13" s="4" t="s">
        <v>12</v>
      </c>
      <c r="C13" s="4">
        <v>228</v>
      </c>
      <c r="D13" s="8">
        <v>0.54783031763065704</v>
      </c>
      <c r="E13" s="8">
        <v>0.56966912041862094</v>
      </c>
      <c r="F13" s="8">
        <v>0.94367630935092295</v>
      </c>
      <c r="G13" s="8">
        <v>1.8298527441371699</v>
      </c>
      <c r="H13" s="8">
        <v>4.7370622548779204</v>
      </c>
      <c r="I13" s="8">
        <v>4.2755011260408899</v>
      </c>
      <c r="J13" s="8">
        <v>0.56018198394319996</v>
      </c>
    </row>
    <row r="14" spans="1:10" ht="15.75" customHeight="1" x14ac:dyDescent="0.35">
      <c r="A14" s="5">
        <v>835</v>
      </c>
      <c r="B14" s="5" t="s">
        <v>13</v>
      </c>
      <c r="C14" s="5">
        <v>228</v>
      </c>
      <c r="D14" s="9">
        <v>0.519790395757048</v>
      </c>
      <c r="E14" s="9">
        <v>0.90964209430245702</v>
      </c>
      <c r="F14" s="9">
        <v>0.57049919244390301</v>
      </c>
      <c r="G14" s="9">
        <v>4.87544937169592</v>
      </c>
      <c r="H14" s="9">
        <v>6.1665804651470504</v>
      </c>
      <c r="I14" s="9">
        <v>6.2528699082889299</v>
      </c>
      <c r="J14" s="9">
        <v>1.1690082799538</v>
      </c>
    </row>
    <row r="15" spans="1:10" ht="15.75" customHeight="1" x14ac:dyDescent="0.35">
      <c r="A15" s="4">
        <v>835</v>
      </c>
      <c r="B15" s="4" t="s">
        <v>14</v>
      </c>
      <c r="C15" s="4">
        <v>228</v>
      </c>
      <c r="D15" s="8">
        <v>0.52269481828950604</v>
      </c>
      <c r="E15" s="8">
        <v>0.89486768872822897</v>
      </c>
      <c r="F15" s="8">
        <v>0.80726259253041399</v>
      </c>
      <c r="G15" s="8">
        <v>4.3198263620753403</v>
      </c>
      <c r="H15" s="8">
        <v>6.4726284791284998</v>
      </c>
      <c r="I15" s="8">
        <v>8.0891488459675092</v>
      </c>
      <c r="J15" s="8">
        <v>0.92563051981450006</v>
      </c>
    </row>
    <row r="16" spans="1:10" ht="15.75" customHeight="1" x14ac:dyDescent="0.35">
      <c r="A16" s="5">
        <v>835</v>
      </c>
      <c r="B16" s="5" t="s">
        <v>15</v>
      </c>
      <c r="C16" s="5">
        <v>228</v>
      </c>
      <c r="D16" s="9">
        <v>0.50629332439357999</v>
      </c>
      <c r="E16" s="9">
        <v>0.904832762458468</v>
      </c>
      <c r="F16" s="9">
        <v>0.59385073114654896</v>
      </c>
      <c r="G16" s="9">
        <v>5.2278906961199398</v>
      </c>
      <c r="H16" s="9">
        <v>6.5558467483375704</v>
      </c>
      <c r="I16" s="9">
        <v>7.7091720082391797</v>
      </c>
      <c r="J16" s="9">
        <v>1.1851063004873998</v>
      </c>
    </row>
    <row r="17" spans="1:10" ht="15.75" customHeight="1" thickBot="1" x14ac:dyDescent="0.4">
      <c r="A17" s="6">
        <v>835</v>
      </c>
      <c r="B17" s="6" t="s">
        <v>16</v>
      </c>
      <c r="C17" s="6">
        <v>228</v>
      </c>
      <c r="D17" s="10">
        <v>0.53049084033485505</v>
      </c>
      <c r="E17" s="10">
        <v>0.822538100906134</v>
      </c>
      <c r="F17" s="10">
        <v>0.86945321123416297</v>
      </c>
      <c r="G17" s="10">
        <v>4.3035506007344004</v>
      </c>
      <c r="H17" s="10">
        <v>6.0755086278481096</v>
      </c>
      <c r="I17" s="10">
        <v>7.2519046340021696</v>
      </c>
      <c r="J17" s="10">
        <v>0.86983869247500001</v>
      </c>
    </row>
    <row r="18" spans="1:10" ht="15.75" customHeight="1" x14ac:dyDescent="0.35">
      <c r="A18" s="3">
        <v>1450</v>
      </c>
      <c r="B18" s="3" t="s">
        <v>9</v>
      </c>
      <c r="C18" s="3">
        <v>106</v>
      </c>
      <c r="D18" s="7">
        <v>0.16095123392882399</v>
      </c>
      <c r="E18" s="7">
        <v>0.61717028790010198</v>
      </c>
      <c r="F18" s="7">
        <v>0.205173050298294</v>
      </c>
      <c r="G18" s="7">
        <v>3.5084431461660599</v>
      </c>
      <c r="H18" s="7">
        <v>6.6721867520480602</v>
      </c>
      <c r="I18" s="7">
        <v>4.1131307157055303</v>
      </c>
      <c r="J18" s="7">
        <v>0.34988987584869996</v>
      </c>
    </row>
    <row r="19" spans="1:10" ht="15.75" customHeight="1" x14ac:dyDescent="0.35">
      <c r="A19" s="4">
        <v>1450</v>
      </c>
      <c r="B19" s="4" t="s">
        <v>10</v>
      </c>
      <c r="C19" s="4">
        <v>106</v>
      </c>
      <c r="D19" s="8">
        <v>0.25058305292621802</v>
      </c>
      <c r="E19" s="8">
        <v>0.96054647038054197</v>
      </c>
      <c r="F19" s="8">
        <v>0.308905132726711</v>
      </c>
      <c r="G19" s="8">
        <v>4.0708103462618297</v>
      </c>
      <c r="H19" s="8">
        <v>6.06462215690145</v>
      </c>
      <c r="I19" s="8">
        <v>6.2276293740581199</v>
      </c>
      <c r="J19" s="8">
        <v>0.56762684026209997</v>
      </c>
    </row>
    <row r="20" spans="1:10" ht="15.75" customHeight="1" x14ac:dyDescent="0.35">
      <c r="A20" s="5">
        <v>1450</v>
      </c>
      <c r="B20" s="5" t="s">
        <v>11</v>
      </c>
      <c r="C20" s="5">
        <v>106</v>
      </c>
      <c r="D20" s="9">
        <v>0.18780588559095601</v>
      </c>
      <c r="E20" s="9">
        <v>0.66338041242618395</v>
      </c>
      <c r="F20" s="9">
        <v>0.23725578708034201</v>
      </c>
      <c r="G20" s="9">
        <v>2.6803761915322499</v>
      </c>
      <c r="H20" s="9">
        <v>6.3649248247491101</v>
      </c>
      <c r="I20" s="9">
        <v>2.5055344166006801</v>
      </c>
      <c r="J20" s="9">
        <v>0.272756527034</v>
      </c>
    </row>
    <row r="21" spans="1:10" ht="15.75" customHeight="1" x14ac:dyDescent="0.35">
      <c r="A21" s="4">
        <v>1450</v>
      </c>
      <c r="B21" s="4" t="s">
        <v>12</v>
      </c>
      <c r="C21" s="4">
        <v>106</v>
      </c>
      <c r="D21" s="8">
        <v>0.279868599564152</v>
      </c>
      <c r="E21" s="8">
        <v>0.98357306170977898</v>
      </c>
      <c r="F21" s="8">
        <v>0.38020929274031501</v>
      </c>
      <c r="G21" s="8">
        <v>3.3805746699764998</v>
      </c>
      <c r="H21" s="8">
        <v>6.80937642199022</v>
      </c>
      <c r="I21" s="8">
        <v>4.1289548305189099</v>
      </c>
      <c r="J21" s="8">
        <v>0.41018770065660004</v>
      </c>
    </row>
    <row r="22" spans="1:10" ht="15.75" customHeight="1" x14ac:dyDescent="0.35">
      <c r="A22" s="5">
        <v>1450</v>
      </c>
      <c r="B22" s="5" t="s">
        <v>13</v>
      </c>
      <c r="C22" s="5">
        <v>106</v>
      </c>
      <c r="D22" s="9">
        <v>0.16512376656981101</v>
      </c>
      <c r="E22" s="9">
        <v>0.66882816675338697</v>
      </c>
      <c r="F22" s="9">
        <v>0.22267699726592399</v>
      </c>
      <c r="G22" s="9">
        <v>3.2945950577135501</v>
      </c>
      <c r="H22" s="9">
        <v>7.4277345724925903</v>
      </c>
      <c r="I22" s="9">
        <v>4.8526118683528896</v>
      </c>
      <c r="J22" s="9">
        <v>0.36671888973849998</v>
      </c>
    </row>
    <row r="23" spans="1:10" ht="15.75" customHeight="1" x14ac:dyDescent="0.35">
      <c r="A23" s="4">
        <v>1450</v>
      </c>
      <c r="B23" s="4" t="s">
        <v>14</v>
      </c>
      <c r="C23" s="4">
        <v>106</v>
      </c>
      <c r="D23" s="8">
        <v>0.245734079473585</v>
      </c>
      <c r="E23" s="8">
        <v>0.99237913395767097</v>
      </c>
      <c r="F23" s="8">
        <v>0.309445540806212</v>
      </c>
      <c r="G23" s="8">
        <v>3.67250671077838</v>
      </c>
      <c r="H23" s="8">
        <v>6.0071030910785401</v>
      </c>
      <c r="I23" s="8">
        <v>5.94081613918787</v>
      </c>
      <c r="J23" s="8">
        <v>0.53129381691529998</v>
      </c>
    </row>
    <row r="24" spans="1:10" ht="15.75" customHeight="1" x14ac:dyDescent="0.35">
      <c r="A24" s="5">
        <v>1450</v>
      </c>
      <c r="B24" s="5" t="s">
        <v>15</v>
      </c>
      <c r="C24" s="5">
        <v>106</v>
      </c>
      <c r="D24" s="9">
        <v>0.159482327872107</v>
      </c>
      <c r="E24" s="9">
        <v>0.60156704218284196</v>
      </c>
      <c r="F24" s="9">
        <v>0.20642240516681701</v>
      </c>
      <c r="G24" s="9">
        <v>3.6665800888524398</v>
      </c>
      <c r="H24" s="9">
        <v>5.8266048464181601</v>
      </c>
      <c r="I24" s="9">
        <v>3.3717166835219698</v>
      </c>
      <c r="J24" s="9">
        <v>0.34980989315709998</v>
      </c>
    </row>
    <row r="25" spans="1:10" ht="15.75" customHeight="1" thickBot="1" x14ac:dyDescent="0.4">
      <c r="A25" s="6">
        <v>1450</v>
      </c>
      <c r="B25" s="6" t="s">
        <v>16</v>
      </c>
      <c r="C25" s="6">
        <v>106</v>
      </c>
      <c r="D25" s="10">
        <v>0.25256336446141098</v>
      </c>
      <c r="E25" s="10">
        <v>0.98666155850892601</v>
      </c>
      <c r="F25" s="10">
        <v>0.34662324446514398</v>
      </c>
      <c r="G25" s="10">
        <v>4.2222398927331897</v>
      </c>
      <c r="H25" s="10">
        <v>5.9226282243168402</v>
      </c>
      <c r="I25" s="10">
        <v>6.1542546483613201</v>
      </c>
      <c r="J25" s="10">
        <v>0.581959507903</v>
      </c>
    </row>
    <row r="26" spans="1:10" ht="15.75" customHeight="1" x14ac:dyDescent="0.35">
      <c r="A26" s="3">
        <v>2140</v>
      </c>
      <c r="B26" s="3" t="s">
        <v>9</v>
      </c>
      <c r="C26" s="3">
        <v>78</v>
      </c>
      <c r="D26" s="7">
        <v>0.175752596601257</v>
      </c>
      <c r="E26" s="7">
        <v>0.71524039948321105</v>
      </c>
      <c r="F26" s="7">
        <v>0.23068965512133999</v>
      </c>
      <c r="G26" s="7">
        <v>4.70144115622558</v>
      </c>
      <c r="H26" s="7">
        <v>11.2007851619692</v>
      </c>
      <c r="I26" s="7">
        <v>2.6250194650771101</v>
      </c>
      <c r="J26" s="7">
        <v>0.20541352460440002</v>
      </c>
    </row>
    <row r="27" spans="1:10" ht="15.75" customHeight="1" x14ac:dyDescent="0.35">
      <c r="A27" s="4">
        <v>2140</v>
      </c>
      <c r="B27" s="4" t="s">
        <v>10</v>
      </c>
      <c r="C27" s="4">
        <v>78</v>
      </c>
      <c r="D27" s="8">
        <v>0.23208755684245899</v>
      </c>
      <c r="E27" s="8">
        <v>0.94317835999262101</v>
      </c>
      <c r="F27" s="8">
        <v>0.26954223506283698</v>
      </c>
      <c r="G27" s="8">
        <v>3.5869063952373401</v>
      </c>
      <c r="H27" s="8">
        <v>8.6457037242803008</v>
      </c>
      <c r="I27" s="8">
        <v>3.61813083769515</v>
      </c>
      <c r="J27" s="8">
        <v>0.30637957346699995</v>
      </c>
    </row>
    <row r="28" spans="1:10" ht="15.75" customHeight="1" x14ac:dyDescent="0.35">
      <c r="A28" s="5">
        <v>2140</v>
      </c>
      <c r="B28" s="5" t="s">
        <v>11</v>
      </c>
      <c r="C28" s="5">
        <v>78</v>
      </c>
      <c r="D28" s="9">
        <v>0.20089578038659001</v>
      </c>
      <c r="E28" s="9">
        <v>0.69183908377014203</v>
      </c>
      <c r="F28" s="9">
        <v>0.24140261855334</v>
      </c>
      <c r="G28" s="9">
        <v>2.8580464914922898</v>
      </c>
      <c r="H28" s="9">
        <v>6.3308427274555603</v>
      </c>
      <c r="I28" s="9">
        <v>1.9418746139835901</v>
      </c>
      <c r="J28" s="9">
        <v>0.1409127658206</v>
      </c>
    </row>
    <row r="29" spans="1:10" ht="15.75" customHeight="1" x14ac:dyDescent="0.35">
      <c r="A29" s="4">
        <v>2140</v>
      </c>
      <c r="B29" s="4" t="s">
        <v>12</v>
      </c>
      <c r="C29" s="4">
        <v>78</v>
      </c>
      <c r="D29" s="8">
        <v>0.26082718240092501</v>
      </c>
      <c r="E29" s="8">
        <v>0.90717155154259399</v>
      </c>
      <c r="F29" s="8">
        <v>0.31400802923552201</v>
      </c>
      <c r="G29" s="8">
        <v>2.6793358547618902</v>
      </c>
      <c r="H29" s="8">
        <v>7.2545273909121599</v>
      </c>
      <c r="I29" s="8">
        <v>2.8589725721950701</v>
      </c>
      <c r="J29" s="8">
        <v>0.2471027921499</v>
      </c>
    </row>
    <row r="30" spans="1:10" ht="15.75" customHeight="1" x14ac:dyDescent="0.35">
      <c r="A30" s="5">
        <v>2140</v>
      </c>
      <c r="B30" s="5" t="s">
        <v>13</v>
      </c>
      <c r="C30" s="5">
        <v>78</v>
      </c>
      <c r="D30" s="9">
        <v>0.17564465723529599</v>
      </c>
      <c r="E30" s="9">
        <v>0.64993331976013202</v>
      </c>
      <c r="F30" s="9">
        <v>0.228496787201936</v>
      </c>
      <c r="G30" s="9">
        <v>5.0689598219103802</v>
      </c>
      <c r="H30" s="9">
        <v>10.739723741848801</v>
      </c>
      <c r="I30" s="9">
        <v>2.4988715338819301</v>
      </c>
      <c r="J30" s="9">
        <v>0.22002502355869999</v>
      </c>
    </row>
    <row r="31" spans="1:10" ht="15.75" customHeight="1" x14ac:dyDescent="0.35">
      <c r="A31" s="4">
        <v>2140</v>
      </c>
      <c r="B31" s="4" t="s">
        <v>14</v>
      </c>
      <c r="C31" s="4">
        <v>78</v>
      </c>
      <c r="D31" s="8">
        <v>0.23225477130347599</v>
      </c>
      <c r="E31" s="8">
        <v>0.943387867056242</v>
      </c>
      <c r="F31" s="8">
        <v>0.269478503998618</v>
      </c>
      <c r="G31" s="8">
        <v>3.31563978536821</v>
      </c>
      <c r="H31" s="8">
        <v>9.0265540571978597</v>
      </c>
      <c r="I31" s="8">
        <v>3.3876887275072098</v>
      </c>
      <c r="J31" s="8">
        <v>0.304585153</v>
      </c>
    </row>
    <row r="32" spans="1:10" ht="15.75" customHeight="1" x14ac:dyDescent="0.35">
      <c r="A32" s="5">
        <v>2140</v>
      </c>
      <c r="B32" s="5" t="s">
        <v>15</v>
      </c>
      <c r="C32" s="5">
        <v>78</v>
      </c>
      <c r="D32" s="9">
        <v>0.17613440107026199</v>
      </c>
      <c r="E32" s="9">
        <v>0.64069409487128104</v>
      </c>
      <c r="F32" s="9">
        <v>0.21740550914592399</v>
      </c>
      <c r="G32" s="9">
        <v>4.6945423716382502</v>
      </c>
      <c r="H32" s="9">
        <v>10.756735286747301</v>
      </c>
      <c r="I32" s="9">
        <v>2.8451710690806702</v>
      </c>
      <c r="J32" s="9">
        <v>0.1946850917922</v>
      </c>
    </row>
    <row r="33" spans="1:10" ht="15.75" customHeight="1" thickBot="1" x14ac:dyDescent="0.4">
      <c r="A33" s="6">
        <v>2140</v>
      </c>
      <c r="B33" s="6" t="s">
        <v>16</v>
      </c>
      <c r="C33" s="6">
        <v>78</v>
      </c>
      <c r="D33" s="10">
        <v>0.22792934234044199</v>
      </c>
      <c r="E33" s="10">
        <v>0.86641124495564703</v>
      </c>
      <c r="F33" s="10">
        <v>0.29889798308872501</v>
      </c>
      <c r="G33" s="10">
        <v>3.6777471759425402</v>
      </c>
      <c r="H33" s="10">
        <v>8.0530011053980406</v>
      </c>
      <c r="I33" s="10">
        <v>3.6967242019188702</v>
      </c>
      <c r="J33" s="10">
        <v>0.29996672735630003</v>
      </c>
    </row>
    <row r="34" spans="1:10" ht="15.75" customHeight="1" x14ac:dyDescent="0.35">
      <c r="A34" s="3">
        <v>2450</v>
      </c>
      <c r="B34" s="3" t="s">
        <v>9</v>
      </c>
      <c r="C34" s="3">
        <v>74</v>
      </c>
      <c r="D34" s="7">
        <v>0.16171419401158699</v>
      </c>
      <c r="E34" s="7">
        <v>0.74513268480926398</v>
      </c>
      <c r="F34" s="7">
        <v>0.24714002446094899</v>
      </c>
      <c r="G34" s="7">
        <v>5.7595058488681596</v>
      </c>
      <c r="H34" s="7">
        <v>10.888743787519299</v>
      </c>
      <c r="I34" s="7">
        <v>2.6473196215877199</v>
      </c>
      <c r="J34" s="7">
        <v>0.18285839264959999</v>
      </c>
    </row>
    <row r="35" spans="1:10" ht="15.75" customHeight="1" x14ac:dyDescent="0.35">
      <c r="A35" s="4">
        <v>2450</v>
      </c>
      <c r="B35" s="4" t="s">
        <v>10</v>
      </c>
      <c r="C35" s="4">
        <v>74</v>
      </c>
      <c r="D35" s="8">
        <v>0.24529184160004799</v>
      </c>
      <c r="E35" s="8">
        <v>1.0426955260485999</v>
      </c>
      <c r="F35" s="8">
        <v>0.392457877651961</v>
      </c>
      <c r="G35" s="8">
        <v>4.5993750103632403</v>
      </c>
      <c r="H35" s="8">
        <v>8.9403519990297209</v>
      </c>
      <c r="I35" s="8">
        <v>3.8652585645089199</v>
      </c>
      <c r="J35" s="8">
        <v>0.27886323457789997</v>
      </c>
    </row>
    <row r="36" spans="1:10" ht="15.75" customHeight="1" x14ac:dyDescent="0.35">
      <c r="A36" s="5">
        <v>2450</v>
      </c>
      <c r="B36" s="5" t="s">
        <v>11</v>
      </c>
      <c r="C36" s="5">
        <v>74</v>
      </c>
      <c r="D36" s="9">
        <v>0.18597841681956701</v>
      </c>
      <c r="E36" s="9">
        <v>0.782797313948153</v>
      </c>
      <c r="F36" s="9">
        <v>0.28361514138016702</v>
      </c>
      <c r="G36" s="9">
        <v>3.2933745412853002</v>
      </c>
      <c r="H36" s="9">
        <v>8.1272083546845995</v>
      </c>
      <c r="I36" s="9">
        <v>1.60611065094505</v>
      </c>
      <c r="J36" s="9">
        <v>0.11515364366110001</v>
      </c>
    </row>
    <row r="37" spans="1:10" ht="15.75" customHeight="1" x14ac:dyDescent="0.35">
      <c r="A37" s="4">
        <v>2450</v>
      </c>
      <c r="B37" s="4" t="s">
        <v>12</v>
      </c>
      <c r="C37" s="4">
        <v>74</v>
      </c>
      <c r="D37" s="8">
        <v>0.28285065811844801</v>
      </c>
      <c r="E37" s="8">
        <v>1.1141057805839301</v>
      </c>
      <c r="F37" s="8">
        <v>0.45958872258465699</v>
      </c>
      <c r="G37" s="8">
        <v>3.48272487676706</v>
      </c>
      <c r="H37" s="8">
        <v>8.4576761072987399</v>
      </c>
      <c r="I37" s="8">
        <v>2.6039036276092098</v>
      </c>
      <c r="J37" s="8">
        <v>0.1966753240671</v>
      </c>
    </row>
    <row r="38" spans="1:10" ht="15.75" customHeight="1" x14ac:dyDescent="0.35">
      <c r="A38" s="5">
        <v>2450</v>
      </c>
      <c r="B38" s="5" t="s">
        <v>13</v>
      </c>
      <c r="C38" s="5">
        <v>74</v>
      </c>
      <c r="D38" s="9">
        <v>0.159906852421454</v>
      </c>
      <c r="E38" s="9">
        <v>0.71485465454505004</v>
      </c>
      <c r="F38" s="9">
        <v>0.25150417625207599</v>
      </c>
      <c r="G38" s="9">
        <v>5.0632555089712499</v>
      </c>
      <c r="H38" s="9">
        <v>11.0140066757964</v>
      </c>
      <c r="I38" s="9">
        <v>2.4967451894517101</v>
      </c>
      <c r="J38" s="9">
        <v>0.19552588096869999</v>
      </c>
    </row>
    <row r="39" spans="1:10" ht="15.75" customHeight="1" x14ac:dyDescent="0.35">
      <c r="A39" s="4">
        <v>2450</v>
      </c>
      <c r="B39" s="4" t="s">
        <v>14</v>
      </c>
      <c r="C39" s="4">
        <v>74</v>
      </c>
      <c r="D39" s="8">
        <v>0.24436639685516101</v>
      </c>
      <c r="E39" s="8">
        <v>1.0786340173931499</v>
      </c>
      <c r="F39" s="8">
        <v>0.35609283011443699</v>
      </c>
      <c r="G39" s="8">
        <v>3.8453958258502099</v>
      </c>
      <c r="H39" s="8">
        <v>9.2170833898449107</v>
      </c>
      <c r="I39" s="8">
        <v>3.3899296165422701</v>
      </c>
      <c r="J39" s="8">
        <v>0.2673784191802</v>
      </c>
    </row>
    <row r="40" spans="1:10" ht="15.75" customHeight="1" x14ac:dyDescent="0.35">
      <c r="A40" s="5">
        <v>2450</v>
      </c>
      <c r="B40" s="5" t="s">
        <v>15</v>
      </c>
      <c r="C40" s="5">
        <v>74</v>
      </c>
      <c r="D40" s="9">
        <v>0.16307710316826099</v>
      </c>
      <c r="E40" s="9">
        <v>0.65367808606521705</v>
      </c>
      <c r="F40" s="9">
        <v>0.25959165730797201</v>
      </c>
      <c r="G40" s="9">
        <v>6.19737590668234</v>
      </c>
      <c r="H40" s="9">
        <v>10.663294581085101</v>
      </c>
      <c r="I40" s="9">
        <v>2.9468446865244999</v>
      </c>
      <c r="J40" s="9">
        <v>0.16527969416919999</v>
      </c>
    </row>
    <row r="41" spans="1:10" ht="15.75" customHeight="1" thickBot="1" x14ac:dyDescent="0.4">
      <c r="A41" s="6">
        <v>2450</v>
      </c>
      <c r="B41" s="6" t="s">
        <v>16</v>
      </c>
      <c r="C41" s="6">
        <v>74</v>
      </c>
      <c r="D41" s="10">
        <v>0.24341305649813699</v>
      </c>
      <c r="E41" s="10">
        <v>1.0633283288142199</v>
      </c>
      <c r="F41" s="10">
        <v>0.40520917166923098</v>
      </c>
      <c r="G41" s="10">
        <v>5.0697572661916999</v>
      </c>
      <c r="H41" s="10">
        <v>8.3470404709744095</v>
      </c>
      <c r="I41" s="10">
        <v>4.1289017694144796</v>
      </c>
      <c r="J41" s="10">
        <v>0.27437293057490003</v>
      </c>
    </row>
    <row r="42" spans="1:10" ht="15.75" customHeight="1" x14ac:dyDescent="0.35">
      <c r="A42" s="3">
        <v>3500</v>
      </c>
      <c r="B42" s="3" t="s">
        <v>9</v>
      </c>
      <c r="C42" s="3">
        <v>55</v>
      </c>
      <c r="D42" s="7">
        <v>6.6566404896950399E-2</v>
      </c>
      <c r="E42" s="7">
        <v>0.36592243963426002</v>
      </c>
      <c r="F42" s="7">
        <v>5.59720898056651E-2</v>
      </c>
      <c r="G42" s="7">
        <v>4.5751425984132403</v>
      </c>
      <c r="H42" s="7">
        <v>5.8923609917822199</v>
      </c>
      <c r="I42" s="7">
        <v>3.0585684437171698</v>
      </c>
      <c r="J42" s="7">
        <v>0.1053808940063</v>
      </c>
    </row>
    <row r="43" spans="1:10" ht="15.75" customHeight="1" x14ac:dyDescent="0.35">
      <c r="A43" s="4">
        <v>3500</v>
      </c>
      <c r="B43" s="4" t="s">
        <v>10</v>
      </c>
      <c r="C43" s="4">
        <v>55</v>
      </c>
      <c r="D43" s="8">
        <v>0.136183277210633</v>
      </c>
      <c r="E43" s="8">
        <v>0.63703639105607102</v>
      </c>
      <c r="F43" s="8">
        <v>0.12050140470724401</v>
      </c>
      <c r="G43" s="8">
        <v>3.1458763416990201</v>
      </c>
      <c r="H43" s="8">
        <v>6.2196209986373496</v>
      </c>
      <c r="I43" s="8">
        <v>1.9191886894383801</v>
      </c>
      <c r="J43" s="8">
        <v>7.2486254621447019E-2</v>
      </c>
    </row>
    <row r="44" spans="1:10" ht="15.75" customHeight="1" x14ac:dyDescent="0.35">
      <c r="A44" s="5">
        <v>3500</v>
      </c>
      <c r="B44" s="5" t="s">
        <v>11</v>
      </c>
      <c r="C44" s="5">
        <v>55</v>
      </c>
      <c r="D44" s="9">
        <v>8.7242381675534095E-2</v>
      </c>
      <c r="E44" s="9">
        <v>0.41851289427657901</v>
      </c>
      <c r="F44" s="9">
        <v>7.6070857694695904E-2</v>
      </c>
      <c r="G44" s="9">
        <v>4.92854379418936</v>
      </c>
      <c r="H44" s="9">
        <v>9.2449463873202298</v>
      </c>
      <c r="I44" s="9">
        <v>2.76077292959206</v>
      </c>
      <c r="J44" s="9">
        <v>7.657288451559971E-2</v>
      </c>
    </row>
    <row r="45" spans="1:10" ht="15.75" customHeight="1" x14ac:dyDescent="0.35">
      <c r="A45" s="4">
        <v>3500</v>
      </c>
      <c r="B45" s="4" t="s">
        <v>12</v>
      </c>
      <c r="C45" s="4">
        <v>55</v>
      </c>
      <c r="D45" s="8">
        <v>0.14494870954067801</v>
      </c>
      <c r="E45" s="8">
        <v>0.66116640448174502</v>
      </c>
      <c r="F45" s="8">
        <v>0.124448818339687</v>
      </c>
      <c r="G45" s="8">
        <v>2.6256236464648</v>
      </c>
      <c r="H45" s="8">
        <v>4.4490312487290602</v>
      </c>
      <c r="I45" s="8">
        <v>1.5883713398252599</v>
      </c>
      <c r="J45" s="8">
        <v>5.3842234690389686E-2</v>
      </c>
    </row>
    <row r="46" spans="1:10" ht="15.75" customHeight="1" x14ac:dyDescent="0.35">
      <c r="A46" s="5">
        <v>3500</v>
      </c>
      <c r="B46" s="5" t="s">
        <v>13</v>
      </c>
      <c r="C46" s="5">
        <v>55</v>
      </c>
      <c r="D46" s="9">
        <v>6.3730963577114705E-2</v>
      </c>
      <c r="E46" s="9">
        <v>0.30977628453828199</v>
      </c>
      <c r="F46" s="9">
        <v>5.1689803176662302E-2</v>
      </c>
      <c r="G46" s="9">
        <v>4.5568803414128096</v>
      </c>
      <c r="H46" s="9">
        <v>5.2005200267940497</v>
      </c>
      <c r="I46" s="9">
        <v>2.8840915769102402</v>
      </c>
      <c r="J46" s="9">
        <v>0.10193415309800001</v>
      </c>
    </row>
    <row r="47" spans="1:10" ht="15.75" customHeight="1" x14ac:dyDescent="0.35">
      <c r="A47" s="4">
        <v>3500</v>
      </c>
      <c r="B47" s="4" t="s">
        <v>14</v>
      </c>
      <c r="C47" s="4">
        <v>55</v>
      </c>
      <c r="D47" s="8">
        <v>0.124590105138161</v>
      </c>
      <c r="E47" s="8">
        <v>0.55052924724659302</v>
      </c>
      <c r="F47" s="8">
        <v>0.120063693447004</v>
      </c>
      <c r="G47" s="8">
        <v>2.6131574155555599</v>
      </c>
      <c r="H47" s="8">
        <v>4.9847948323528302</v>
      </c>
      <c r="I47" s="8">
        <v>1.4144474194591601</v>
      </c>
      <c r="J47" s="8">
        <v>6.12899199732354E-2</v>
      </c>
    </row>
    <row r="48" spans="1:10" ht="15.75" customHeight="1" x14ac:dyDescent="0.35">
      <c r="A48" s="5">
        <v>3500</v>
      </c>
      <c r="B48" s="5" t="s">
        <v>15</v>
      </c>
      <c r="C48" s="5">
        <v>55</v>
      </c>
      <c r="D48" s="9">
        <v>6.9689877663046101E-2</v>
      </c>
      <c r="E48" s="9">
        <v>0.37888432046029202</v>
      </c>
      <c r="F48" s="9">
        <v>5.4917082469753298E-2</v>
      </c>
      <c r="G48" s="9">
        <v>5.2391913193057098</v>
      </c>
      <c r="H48" s="9">
        <v>6.3125161590343799</v>
      </c>
      <c r="I48" s="9">
        <v>3.3548604157497799</v>
      </c>
      <c r="J48" s="9">
        <v>0.112151815052</v>
      </c>
    </row>
    <row r="49" spans="1:10" ht="15.75" customHeight="1" thickBot="1" x14ac:dyDescent="0.4">
      <c r="A49" s="6">
        <v>3500</v>
      </c>
      <c r="B49" s="6" t="s">
        <v>16</v>
      </c>
      <c r="C49" s="6">
        <v>55</v>
      </c>
      <c r="D49" s="10">
        <v>0.145704084443944</v>
      </c>
      <c r="E49" s="10">
        <v>0.64645277072695295</v>
      </c>
      <c r="F49" s="10">
        <v>0.128750409180974</v>
      </c>
      <c r="G49" s="10">
        <v>3.8039285143306598</v>
      </c>
      <c r="H49" s="10">
        <v>7.1377403416481702</v>
      </c>
      <c r="I49" s="10">
        <v>2.50237650577894</v>
      </c>
      <c r="J49" s="10">
        <v>8.1982533392450027E-2</v>
      </c>
    </row>
    <row r="50" spans="1:10" ht="15.75" customHeight="1" x14ac:dyDescent="0.35">
      <c r="A50" s="3">
        <v>5200</v>
      </c>
      <c r="B50" s="3" t="s">
        <v>9</v>
      </c>
      <c r="C50" s="3">
        <v>53</v>
      </c>
      <c r="D50" s="7">
        <v>6.2616019125352196E-2</v>
      </c>
      <c r="E50" s="7">
        <v>0.19081279250188399</v>
      </c>
      <c r="F50" s="7">
        <v>5.6341543197826603E-2</v>
      </c>
      <c r="G50" s="7">
        <v>1.8830630003801401</v>
      </c>
      <c r="H50" s="7">
        <v>4.3288833256831403</v>
      </c>
      <c r="I50" s="7">
        <v>3.4487014178880102</v>
      </c>
      <c r="J50" s="7">
        <v>3.095687016655135E-2</v>
      </c>
    </row>
    <row r="51" spans="1:10" ht="15.75" customHeight="1" x14ac:dyDescent="0.35">
      <c r="A51" s="4">
        <v>5200</v>
      </c>
      <c r="B51" s="4" t="s">
        <v>10</v>
      </c>
      <c r="C51" s="4">
        <v>53</v>
      </c>
      <c r="D51" s="8">
        <v>9.3164388719010394E-2</v>
      </c>
      <c r="E51" s="8">
        <v>0.25736377506470598</v>
      </c>
      <c r="F51" s="8">
        <v>8.2204124789797203E-2</v>
      </c>
      <c r="G51" s="8">
        <v>3.94793939859077</v>
      </c>
      <c r="H51" s="8">
        <v>4.6082949340569099</v>
      </c>
      <c r="I51" s="8">
        <v>3.6751169415557201</v>
      </c>
      <c r="J51" s="8">
        <v>2.3960880626601767E-2</v>
      </c>
    </row>
    <row r="52" spans="1:10" ht="15.75" customHeight="1" x14ac:dyDescent="0.35">
      <c r="A52" s="5">
        <v>5200</v>
      </c>
      <c r="B52" s="5" t="s">
        <v>11</v>
      </c>
      <c r="C52" s="5">
        <v>53</v>
      </c>
      <c r="D52" s="9">
        <v>7.9855440070978501E-2</v>
      </c>
      <c r="E52" s="9">
        <v>0.23398174346497599</v>
      </c>
      <c r="F52" s="9">
        <v>8.0323468741617707E-2</v>
      </c>
      <c r="G52" s="9">
        <v>4.2403784610606303</v>
      </c>
      <c r="H52" s="9">
        <v>6.2309176371895703</v>
      </c>
      <c r="I52" s="9">
        <v>4.9107430788314899</v>
      </c>
      <c r="J52" s="9">
        <v>3.732049131245499E-2</v>
      </c>
    </row>
    <row r="53" spans="1:10" ht="15.75" customHeight="1" x14ac:dyDescent="0.35">
      <c r="A53" s="4">
        <v>5200</v>
      </c>
      <c r="B53" s="4" t="s">
        <v>12</v>
      </c>
      <c r="C53" s="4">
        <v>53</v>
      </c>
      <c r="D53" s="8">
        <v>9.9092240819172603E-2</v>
      </c>
      <c r="E53" s="8">
        <v>0.28023855610493398</v>
      </c>
      <c r="F53" s="8">
        <v>9.2999528496695696E-2</v>
      </c>
      <c r="G53" s="8">
        <v>2.5679245993239199</v>
      </c>
      <c r="H53" s="8">
        <v>4.3700794312055402</v>
      </c>
      <c r="I53" s="8">
        <v>2.5764033873985799</v>
      </c>
      <c r="J53" s="8">
        <v>1.4901247923803717E-2</v>
      </c>
    </row>
    <row r="54" spans="1:10" ht="15.75" customHeight="1" x14ac:dyDescent="0.35">
      <c r="A54" s="5">
        <v>5200</v>
      </c>
      <c r="B54" s="5" t="s">
        <v>13</v>
      </c>
      <c r="C54" s="5">
        <v>53</v>
      </c>
      <c r="D54" s="9">
        <v>6.3105287839537297E-2</v>
      </c>
      <c r="E54" s="9">
        <v>0.18923160721700499</v>
      </c>
      <c r="F54" s="9">
        <v>5.7405215621825101E-2</v>
      </c>
      <c r="G54" s="9">
        <v>1.7603301003354499</v>
      </c>
      <c r="H54" s="9">
        <v>4.6631800539359904</v>
      </c>
      <c r="I54" s="9">
        <v>3.1760987756561798</v>
      </c>
      <c r="J54" s="9">
        <v>2.8898073665352048E-2</v>
      </c>
    </row>
    <row r="55" spans="1:10" ht="15.75" customHeight="1" x14ac:dyDescent="0.35">
      <c r="A55" s="4">
        <v>5200</v>
      </c>
      <c r="B55" s="4" t="s">
        <v>14</v>
      </c>
      <c r="C55" s="4">
        <v>53</v>
      </c>
      <c r="D55" s="8">
        <v>9.2473327178344195E-2</v>
      </c>
      <c r="E55" s="8">
        <v>0.262187749400207</v>
      </c>
      <c r="F55" s="8">
        <v>8.7007340664739502E-2</v>
      </c>
      <c r="G55" s="8">
        <v>3.9525924460758999</v>
      </c>
      <c r="H55" s="8">
        <v>6.7355449849123499</v>
      </c>
      <c r="I55" s="8">
        <v>3.7775802482635998</v>
      </c>
      <c r="J55" s="8">
        <v>2.3053654183987294E-2</v>
      </c>
    </row>
    <row r="56" spans="1:10" ht="15.75" customHeight="1" x14ac:dyDescent="0.35">
      <c r="A56" s="5">
        <v>5200</v>
      </c>
      <c r="B56" s="5" t="s">
        <v>15</v>
      </c>
      <c r="C56" s="5">
        <v>53</v>
      </c>
      <c r="D56" s="9">
        <v>6.3017069281065402E-2</v>
      </c>
      <c r="E56" s="9">
        <v>0.19891900784404101</v>
      </c>
      <c r="F56" s="9">
        <v>5.63377251708976E-2</v>
      </c>
      <c r="G56" s="9">
        <v>2.4775666342616698</v>
      </c>
      <c r="H56" s="9">
        <v>4.2215201695153599</v>
      </c>
      <c r="I56" s="9">
        <v>3.2107614702783902</v>
      </c>
      <c r="J56" s="9">
        <v>3.4725951679240551E-2</v>
      </c>
    </row>
    <row r="57" spans="1:10" ht="15.75" customHeight="1" thickBot="1" x14ac:dyDescent="0.4">
      <c r="A57" s="6">
        <v>5200</v>
      </c>
      <c r="B57" s="6" t="s">
        <v>16</v>
      </c>
      <c r="C57" s="6">
        <v>53</v>
      </c>
      <c r="D57" s="10">
        <v>9.4094280837688796E-2</v>
      </c>
      <c r="E57" s="10">
        <v>0.25484604389867699</v>
      </c>
      <c r="F57" s="10">
        <v>9.0231530105395502E-2</v>
      </c>
      <c r="G57" s="10">
        <v>3.0352512922994599</v>
      </c>
      <c r="H57" s="10">
        <v>3.0352512922994599</v>
      </c>
      <c r="I57" s="10">
        <v>2.66193287278697</v>
      </c>
      <c r="J57" s="10">
        <v>2.439264254519102E-2</v>
      </c>
    </row>
    <row r="58" spans="1:10" ht="15.75" customHeight="1" x14ac:dyDescent="0.35">
      <c r="A58" s="3">
        <v>5800</v>
      </c>
      <c r="B58" s="3" t="s">
        <v>9</v>
      </c>
      <c r="C58" s="3">
        <v>54</v>
      </c>
      <c r="D58" s="7">
        <v>6.5517032196432595E-2</v>
      </c>
      <c r="E58" s="7">
        <v>0.23717264442132099</v>
      </c>
      <c r="F58" s="7">
        <v>4.5221067278427299E-2</v>
      </c>
      <c r="G58" s="7">
        <v>2.5511119841079601</v>
      </c>
      <c r="H58" s="7">
        <v>6.9224340576183296</v>
      </c>
      <c r="I58" s="7">
        <v>2.3177125234108402</v>
      </c>
      <c r="J58" s="7">
        <v>1.6408386549717952E-2</v>
      </c>
    </row>
    <row r="59" spans="1:10" ht="15.75" customHeight="1" x14ac:dyDescent="0.35">
      <c r="A59" s="4">
        <v>5800</v>
      </c>
      <c r="B59" s="4" t="s">
        <v>10</v>
      </c>
      <c r="C59" s="4">
        <v>54</v>
      </c>
      <c r="D59" s="8">
        <v>0.100080369547894</v>
      </c>
      <c r="E59" s="8">
        <v>0.32670958097226699</v>
      </c>
      <c r="F59" s="8">
        <v>7.6029715507763496E-2</v>
      </c>
      <c r="G59" s="8">
        <v>3.5013058590476902</v>
      </c>
      <c r="H59" s="8">
        <v>8.4892503372064798</v>
      </c>
      <c r="I59" s="8">
        <v>3.5743873798489001</v>
      </c>
      <c r="J59" s="8">
        <v>1.9329560244197644E-2</v>
      </c>
    </row>
    <row r="60" spans="1:10" ht="15.75" customHeight="1" x14ac:dyDescent="0.35">
      <c r="A60" s="5">
        <v>5800</v>
      </c>
      <c r="B60" s="5" t="s">
        <v>11</v>
      </c>
      <c r="C60" s="5">
        <v>54</v>
      </c>
      <c r="D60" s="9">
        <v>7.8716465619244697E-2</v>
      </c>
      <c r="E60" s="9">
        <v>0.28576187282686299</v>
      </c>
      <c r="F60" s="9">
        <v>6.0867434901788503E-2</v>
      </c>
      <c r="G60" s="9">
        <v>2.84308715539317</v>
      </c>
      <c r="H60" s="9">
        <v>4.1938385779179201</v>
      </c>
      <c r="I60" s="9">
        <v>4.1938385779179201</v>
      </c>
      <c r="J60" s="9">
        <v>2.2363175661172085E-2</v>
      </c>
    </row>
    <row r="61" spans="1:10" ht="15.75" customHeight="1" x14ac:dyDescent="0.35">
      <c r="A61" s="4">
        <v>5800</v>
      </c>
      <c r="B61" s="4" t="s">
        <v>12</v>
      </c>
      <c r="C61" s="4">
        <v>54</v>
      </c>
      <c r="D61" s="8">
        <v>0.100425825579894</v>
      </c>
      <c r="E61" s="8">
        <v>0.33988525059623498</v>
      </c>
      <c r="F61" s="8">
        <v>7.3592891570086999E-2</v>
      </c>
      <c r="G61" s="8">
        <v>3.0341116514770099</v>
      </c>
      <c r="H61" s="8">
        <v>5.5331741269896897</v>
      </c>
      <c r="I61" s="8">
        <v>3.0332895511556002</v>
      </c>
      <c r="J61" s="8">
        <v>1.3231965850613184E-2</v>
      </c>
    </row>
    <row r="62" spans="1:10" ht="15.75" customHeight="1" x14ac:dyDescent="0.35">
      <c r="A62" s="5">
        <v>5800</v>
      </c>
      <c r="B62" s="5" t="s">
        <v>13</v>
      </c>
      <c r="C62" s="5">
        <v>54</v>
      </c>
      <c r="D62" s="9">
        <v>6.4401846173238603E-2</v>
      </c>
      <c r="E62" s="9">
        <v>0.21903741752483799</v>
      </c>
      <c r="F62" s="9">
        <v>4.5927267419209598E-2</v>
      </c>
      <c r="G62" s="9">
        <v>2.0027071086543198</v>
      </c>
      <c r="H62" s="9">
        <v>6.6034299145738098</v>
      </c>
      <c r="I62" s="9">
        <v>2.19294170298559</v>
      </c>
      <c r="J62" s="9">
        <v>1.6427853474555578E-2</v>
      </c>
    </row>
    <row r="63" spans="1:10" ht="15.75" customHeight="1" x14ac:dyDescent="0.35">
      <c r="A63" s="4">
        <v>5800</v>
      </c>
      <c r="B63" s="4" t="s">
        <v>14</v>
      </c>
      <c r="C63" s="4">
        <v>54</v>
      </c>
      <c r="D63" s="8">
        <v>9.6145214943057805E-2</v>
      </c>
      <c r="E63" s="8">
        <v>0.32700703247812501</v>
      </c>
      <c r="F63" s="8">
        <v>7.4362968892592599E-2</v>
      </c>
      <c r="G63" s="8">
        <v>3.28213916772701</v>
      </c>
      <c r="H63" s="8">
        <v>8.6628645265566799</v>
      </c>
      <c r="I63" s="8">
        <v>3.5709073881982301</v>
      </c>
      <c r="J63" s="8">
        <v>1.802470961206528E-2</v>
      </c>
    </row>
    <row r="64" spans="1:10" ht="15.75" customHeight="1" x14ac:dyDescent="0.35">
      <c r="A64" s="5">
        <v>5800</v>
      </c>
      <c r="B64" s="5" t="s">
        <v>15</v>
      </c>
      <c r="C64" s="5">
        <v>54</v>
      </c>
      <c r="D64" s="9">
        <v>6.5654297764859801E-2</v>
      </c>
      <c r="E64" s="9">
        <v>0.24154309118448999</v>
      </c>
      <c r="F64" s="9">
        <v>4.7248020123585102E-2</v>
      </c>
      <c r="G64" s="9">
        <v>2.60319021523466</v>
      </c>
      <c r="H64" s="9">
        <v>6.02072057520774</v>
      </c>
      <c r="I64" s="9">
        <v>2.4403881763063602</v>
      </c>
      <c r="J64" s="9">
        <v>1.6336422549270032E-2</v>
      </c>
    </row>
    <row r="65" spans="1:10" ht="15.75" customHeight="1" thickBot="1" x14ac:dyDescent="0.4">
      <c r="A65" s="6">
        <v>5800</v>
      </c>
      <c r="B65" s="6" t="s">
        <v>16</v>
      </c>
      <c r="C65" s="6">
        <v>54</v>
      </c>
      <c r="D65" s="10">
        <v>0.100013321424366</v>
      </c>
      <c r="E65" s="10">
        <v>0.33826842169722399</v>
      </c>
      <c r="F65" s="10">
        <v>7.0348460924954906E-2</v>
      </c>
      <c r="G65" s="10">
        <v>3.5382795846755299</v>
      </c>
      <c r="H65" s="10">
        <v>5.9575364604970096</v>
      </c>
      <c r="I65" s="10">
        <v>3.4568863986937899</v>
      </c>
      <c r="J65" s="10">
        <v>2.0540720937142008E-2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5"/>
  <sheetViews>
    <sheetView zoomScale="84" zoomScaleNormal="248" workbookViewId="0">
      <selection activeCell="J1" sqref="J1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30.3632812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17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9</v>
      </c>
      <c r="C2" s="3">
        <v>1</v>
      </c>
      <c r="D2" s="7">
        <f>Table4[[#This Row],[SAR_wholebody (mW/kg)]]*10^3/Table4[[#This Row],[Input Power (mW)]]</f>
        <v>2.7811346750177983</v>
      </c>
      <c r="E2" s="7">
        <f>Table4[[#This Row],[SAR_head (mW/kg)]]*10^3/Table4[[#This Row],[Input Power (mW)]]</f>
        <v>5.9033299445407117</v>
      </c>
      <c r="F2" s="7">
        <f>Table4[[#This Row],[SAR_trunk (mW/kg)]]*10^3/Table4[[#This Row],[Input Power (mW)]]</f>
        <v>2.2808335312687977</v>
      </c>
      <c r="G2" s="7">
        <f>Table4[[#This Row],[psSAR10g_eyes (mW/kg)]]*10^3/Table4[[#This Row],[Input Power (mW)]]</f>
        <v>51.327351755037832</v>
      </c>
      <c r="H2" s="7">
        <f>Table4[[#This Row],[psSAR10g_skin (mW/kg)]]*10^3/Table4[[#This Row],[Input Power (mW)]]</f>
        <v>51.327351755037832</v>
      </c>
      <c r="I2" s="7">
        <f>Table4[[#This Row],[psSAR10g_brain (mW/kg)]]*10^3/Table4[[#This Row],[Input Power (mW)]]</f>
        <v>44.392219899706369</v>
      </c>
      <c r="J2" s="7">
        <f>Table4[[#This Row],[SAR_brain (mW/kg)]]*10^3/Table4[[#This Row],[Input Power (mW)]]</f>
        <v>5.9182800603838954</v>
      </c>
    </row>
    <row r="3" spans="1:10" ht="15.75" customHeight="1" x14ac:dyDescent="0.35">
      <c r="A3" s="4">
        <v>700</v>
      </c>
      <c r="B3" s="4" t="s">
        <v>10</v>
      </c>
      <c r="C3" s="4">
        <v>1</v>
      </c>
      <c r="D3" s="8">
        <f>Table4[[#This Row],[SAR_wholebody (mW/kg)]]*10^3/Table4[[#This Row],[Input Power (mW)]]</f>
        <v>2.9226099038919959</v>
      </c>
      <c r="E3" s="8">
        <f>Table4[[#This Row],[SAR_head (mW/kg)]]*10^3/Table4[[#This Row],[Input Power (mW)]]</f>
        <v>5.2949774432943819</v>
      </c>
      <c r="F3" s="8">
        <f>Table4[[#This Row],[SAR_trunk (mW/kg)]]*10^3/Table4[[#This Row],[Input Power (mW)]]</f>
        <v>3.9975441813800749</v>
      </c>
      <c r="G3" s="8">
        <f>Table4[[#This Row],[psSAR10g_eyes (mW/kg)]]*10^3/Table4[[#This Row],[Input Power (mW)]]</f>
        <v>44.43712638433221</v>
      </c>
      <c r="H3" s="8">
        <f>Table4[[#This Row],[psSAR10g_skin (mW/kg)]]*10^3/Table4[[#This Row],[Input Power (mW)]]</f>
        <v>82.801103688856941</v>
      </c>
      <c r="I3" s="8">
        <f>Table4[[#This Row],[psSAR10g_brain (mW/kg)]]*10^3/Table4[[#This Row],[Input Power (mW)]]</f>
        <v>37.301550410888161</v>
      </c>
      <c r="J3" s="8">
        <f>Table4[[#This Row],[SAR_brain (mW/kg)]]*10^3/Table4[[#This Row],[Input Power (mW)]]</f>
        <v>3.6130240805928842</v>
      </c>
    </row>
    <row r="4" spans="1:10" ht="15.75" customHeight="1" x14ac:dyDescent="0.35">
      <c r="A4" s="5">
        <v>700</v>
      </c>
      <c r="B4" s="5" t="s">
        <v>11</v>
      </c>
      <c r="C4" s="5">
        <v>1</v>
      </c>
      <c r="D4" s="9">
        <f>Table4[[#This Row],[SAR_wholebody (mW/kg)]]*10^3/Table4[[#This Row],[Input Power (mW)]]</f>
        <v>2.9542518998632548</v>
      </c>
      <c r="E4" s="9">
        <f>Table4[[#This Row],[SAR_head (mW/kg)]]*10^3/Table4[[#This Row],[Input Power (mW)]]</f>
        <v>4.5164552492294003</v>
      </c>
      <c r="F4" s="9">
        <f>Table4[[#This Row],[SAR_trunk (mW/kg)]]*10^3/Table4[[#This Row],[Input Power (mW)]]</f>
        <v>3.090704075901745</v>
      </c>
      <c r="G4" s="9">
        <f>Table4[[#This Row],[psSAR10g_eyes (mW/kg)]]*10^3/Table4[[#This Row],[Input Power (mW)]]</f>
        <v>40.420915009385766</v>
      </c>
      <c r="H4" s="9">
        <f>Table4[[#This Row],[psSAR10g_skin (mW/kg)]]*10^3/Table4[[#This Row],[Input Power (mW)]]</f>
        <v>50.640450292545317</v>
      </c>
      <c r="I4" s="9">
        <f>Table4[[#This Row],[psSAR10g_brain (mW/kg)]]*10^3/Table4[[#This Row],[Input Power (mW)]]</f>
        <v>26.100223299894196</v>
      </c>
      <c r="J4" s="9">
        <f>Table4[[#This Row],[SAR_brain (mW/kg)]]*10^3/Table4[[#This Row],[Input Power (mW)]]</f>
        <v>4.3356400175775285</v>
      </c>
    </row>
    <row r="5" spans="1:10" ht="15.75" customHeight="1" x14ac:dyDescent="0.35">
      <c r="A5" s="4">
        <v>700</v>
      </c>
      <c r="B5" s="4" t="s">
        <v>12</v>
      </c>
      <c r="C5" s="4">
        <v>1</v>
      </c>
      <c r="D5" s="8">
        <f>Table4[[#This Row],[SAR_wholebody (mW/kg)]]*10^3/Table4[[#This Row],[Input Power (mW)]]</f>
        <v>2.90143536602179</v>
      </c>
      <c r="E5" s="8">
        <f>Table4[[#This Row],[SAR_head (mW/kg)]]*10^3/Table4[[#This Row],[Input Power (mW)]]</f>
        <v>3.0988491520259061</v>
      </c>
      <c r="F5" s="8">
        <f>Table4[[#This Row],[SAR_trunk (mW/kg)]]*10^3/Table4[[#This Row],[Input Power (mW)]]</f>
        <v>4.9261081980937087</v>
      </c>
      <c r="G5" s="8">
        <f>Table4[[#This Row],[psSAR10g_eyes (mW/kg)]]*10^3/Table4[[#This Row],[Input Power (mW)]]</f>
        <v>22.293435762411274</v>
      </c>
      <c r="H5" s="8">
        <f>Table4[[#This Row],[psSAR10g_skin (mW/kg)]]*10^3/Table4[[#This Row],[Input Power (mW)]]</f>
        <v>68.337515055071904</v>
      </c>
      <c r="I5" s="8">
        <f>Table4[[#This Row],[psSAR10g_brain (mW/kg)]]*10^3/Table4[[#This Row],[Input Power (mW)]]</f>
        <v>16.239839478273524</v>
      </c>
      <c r="J5" s="8">
        <f>Table4[[#This Row],[SAR_brain (mW/kg)]]*10^3/Table4[[#This Row],[Input Power (mW)]]</f>
        <v>1.737290285724719</v>
      </c>
    </row>
    <row r="6" spans="1:10" ht="15.75" customHeight="1" x14ac:dyDescent="0.35">
      <c r="A6" s="5">
        <v>700</v>
      </c>
      <c r="B6" s="5" t="s">
        <v>13</v>
      </c>
      <c r="C6" s="5">
        <v>1</v>
      </c>
      <c r="D6" s="9">
        <f>Table4[[#This Row],[SAR_wholebody (mW/kg)]]*10^3/Table4[[#This Row],[Input Power (mW)]]</f>
        <v>2.8265651388662469</v>
      </c>
      <c r="E6" s="9">
        <f>Table4[[#This Row],[SAR_head (mW/kg)]]*10^3/Table4[[#This Row],[Input Power (mW)]]</f>
        <v>5.4164516330873411</v>
      </c>
      <c r="F6" s="9">
        <f>Table4[[#This Row],[SAR_trunk (mW/kg)]]*10^3/Table4[[#This Row],[Input Power (mW)]]</f>
        <v>2.0932904050040748</v>
      </c>
      <c r="G6" s="9">
        <f>Table4[[#This Row],[psSAR10g_eyes (mW/kg)]]*10^3/Table4[[#This Row],[Input Power (mW)]]</f>
        <v>47.758131685654305</v>
      </c>
      <c r="H6" s="9">
        <f>Table4[[#This Row],[psSAR10g_skin (mW/kg)]]*10^3/Table4[[#This Row],[Input Power (mW)]]</f>
        <v>52.489566480572286</v>
      </c>
      <c r="I6" s="9">
        <f>Table4[[#This Row],[psSAR10g_brain (mW/kg)]]*10^3/Table4[[#This Row],[Input Power (mW)]]</f>
        <v>39.39247970310749</v>
      </c>
      <c r="J6" s="9">
        <f>Table4[[#This Row],[SAR_brain (mW/kg)]]*10^3/Table4[[#This Row],[Input Power (mW)]]</f>
        <v>5.5971496367794007</v>
      </c>
    </row>
    <row r="7" spans="1:10" ht="15.75" customHeight="1" x14ac:dyDescent="0.35">
      <c r="A7" s="4">
        <v>700</v>
      </c>
      <c r="B7" s="4" t="s">
        <v>14</v>
      </c>
      <c r="C7" s="4">
        <v>1</v>
      </c>
      <c r="D7" s="8">
        <f>Table4[[#This Row],[SAR_wholebody (mW/kg)]]*10^3/Table4[[#This Row],[Input Power (mW)]]</f>
        <v>2.8882473040507981</v>
      </c>
      <c r="E7" s="8">
        <f>Table4[[#This Row],[SAR_head (mW/kg)]]*10^3/Table4[[#This Row],[Input Power (mW)]]</f>
        <v>4.9113965614504878</v>
      </c>
      <c r="F7" s="8">
        <f>Table4[[#This Row],[SAR_trunk (mW/kg)]]*10^3/Table4[[#This Row],[Input Power (mW)]]</f>
        <v>3.9636550391412362</v>
      </c>
      <c r="G7" s="8">
        <f>Table4[[#This Row],[psSAR10g_eyes (mW/kg)]]*10^3/Table4[[#This Row],[Input Power (mW)]]</f>
        <v>51.297812079044569</v>
      </c>
      <c r="H7" s="8">
        <f>Table4[[#This Row],[psSAR10g_skin (mW/kg)]]*10^3/Table4[[#This Row],[Input Power (mW)]]</f>
        <v>80.737922382471154</v>
      </c>
      <c r="I7" s="8">
        <f>Table4[[#This Row],[psSAR10g_brain (mW/kg)]]*10^3/Table4[[#This Row],[Input Power (mW)]]</f>
        <v>39.363300789985018</v>
      </c>
      <c r="J7" s="8">
        <f>Table4[[#This Row],[SAR_brain (mW/kg)]]*10^3/Table4[[#This Row],[Input Power (mW)]]</f>
        <v>3.7136675399014978</v>
      </c>
    </row>
    <row r="8" spans="1:10" ht="15.75" customHeight="1" x14ac:dyDescent="0.35">
      <c r="A8" s="5">
        <v>700</v>
      </c>
      <c r="B8" s="5" t="s">
        <v>15</v>
      </c>
      <c r="C8" s="5">
        <v>1</v>
      </c>
      <c r="D8" s="9">
        <f>Table4[[#This Row],[SAR_wholebody (mW/kg)]]*10^3/Table4[[#This Row],[Input Power (mW)]]</f>
        <v>2.7723393501611877</v>
      </c>
      <c r="E8" s="9">
        <f>Table4[[#This Row],[SAR_head (mW/kg)]]*10^3/Table4[[#This Row],[Input Power (mW)]]</f>
        <v>6.0060190574764789</v>
      </c>
      <c r="F8" s="9">
        <f>Table4[[#This Row],[SAR_trunk (mW/kg)]]*10^3/Table4[[#This Row],[Input Power (mW)]]</f>
        <v>2.1792122643611425</v>
      </c>
      <c r="G8" s="9">
        <f>Table4[[#This Row],[psSAR10g_eyes (mW/kg)]]*10^3/Table4[[#This Row],[Input Power (mW)]]</f>
        <v>54.92395894887828</v>
      </c>
      <c r="H8" s="9">
        <f>Table4[[#This Row],[psSAR10g_skin (mW/kg)]]*10^3/Table4[[#This Row],[Input Power (mW)]]</f>
        <v>54.92395894887828</v>
      </c>
      <c r="I8" s="9">
        <f>Table4[[#This Row],[psSAR10g_brain (mW/kg)]]*10^3/Table4[[#This Row],[Input Power (mW)]]</f>
        <v>49.968696170137832</v>
      </c>
      <c r="J8" s="9">
        <f>Table4[[#This Row],[SAR_brain (mW/kg)]]*10^3/Table4[[#This Row],[Input Power (mW)]]</f>
        <v>6.3197985334329578</v>
      </c>
    </row>
    <row r="9" spans="1:10" ht="15.75" customHeight="1" thickBot="1" x14ac:dyDescent="0.4">
      <c r="A9" s="6">
        <v>700</v>
      </c>
      <c r="B9" s="6" t="s">
        <v>16</v>
      </c>
      <c r="C9" s="6">
        <v>1</v>
      </c>
      <c r="D9" s="10">
        <f>Table4[[#This Row],[SAR_wholebody (mW/kg)]]*10^3/Table4[[#This Row],[Input Power (mW)]]</f>
        <v>2.9037722982494008</v>
      </c>
      <c r="E9" s="10">
        <f>Table4[[#This Row],[SAR_head (mW/kg)]]*10^3/Table4[[#This Row],[Input Power (mW)]]</f>
        <v>4.832820907624046</v>
      </c>
      <c r="F9" s="10">
        <f>Table4[[#This Row],[SAR_trunk (mW/kg)]]*10^3/Table4[[#This Row],[Input Power (mW)]]</f>
        <v>4.293732332884157</v>
      </c>
      <c r="G9" s="10">
        <f>Table4[[#This Row],[psSAR10g_eyes (mW/kg)]]*10^3/Table4[[#This Row],[Input Power (mW)]]</f>
        <v>44.233755210628466</v>
      </c>
      <c r="H9" s="10">
        <f>Table4[[#This Row],[psSAR10g_skin (mW/kg)]]*10^3/Table4[[#This Row],[Input Power (mW)]]</f>
        <v>82.368448114147554</v>
      </c>
      <c r="I9" s="10">
        <f>Table4[[#This Row],[psSAR10g_brain (mW/kg)]]*10^3/Table4[[#This Row],[Input Power (mW)]]</f>
        <v>35.752533037730224</v>
      </c>
      <c r="J9" s="10">
        <f>Table4[[#This Row],[SAR_brain (mW/kg)]]*10^3/Table4[[#This Row],[Input Power (mW)]]</f>
        <v>3.4160971643857678</v>
      </c>
    </row>
    <row r="10" spans="1:10" ht="15.75" customHeight="1" x14ac:dyDescent="0.35">
      <c r="A10" s="3">
        <v>835</v>
      </c>
      <c r="B10" s="3" t="s">
        <v>9</v>
      </c>
      <c r="C10" s="3">
        <v>1</v>
      </c>
      <c r="D10" s="7">
        <f>Table4[[#This Row],[SAR_wholebody (mW/kg)]]*10^3/Table4[[#This Row],[Input Power (mW)]]</f>
        <v>2.2426839278617634</v>
      </c>
      <c r="E10" s="7">
        <f>Table4[[#This Row],[SAR_head (mW/kg)]]*10^3/Table4[[#This Row],[Input Power (mW)]]</f>
        <v>4.1376179004514517</v>
      </c>
      <c r="F10" s="7">
        <f>Table4[[#This Row],[SAR_trunk (mW/kg)]]*10^3/Table4[[#This Row],[Input Power (mW)]]</f>
        <v>2.4701956399884075</v>
      </c>
      <c r="G10" s="7">
        <f>Table4[[#This Row],[psSAR10g_eyes (mW/kg)]]*10^3/Table4[[#This Row],[Input Power (mW)]]</f>
        <v>22.099901948375656</v>
      </c>
      <c r="H10" s="7">
        <f>Table4[[#This Row],[psSAR10g_skin (mW/kg)]]*10^3/Table4[[#This Row],[Input Power (mW)]]</f>
        <v>28.474612812372936</v>
      </c>
      <c r="I10" s="7">
        <f>Table4[[#This Row],[psSAR10g_brain (mW/kg)]]*10^3/Table4[[#This Row],[Input Power (mW)]]</f>
        <v>30.528126229059211</v>
      </c>
      <c r="J10" s="7">
        <f>Table4[[#This Row],[SAR_brain (mW/kg)]]*10^3/Table4[[#This Row],[Input Power (mW)]]</f>
        <v>5.1531465629135962</v>
      </c>
    </row>
    <row r="11" spans="1:10" ht="15.75" customHeight="1" x14ac:dyDescent="0.35">
      <c r="A11" s="4">
        <v>835</v>
      </c>
      <c r="B11" s="4" t="s">
        <v>10</v>
      </c>
      <c r="C11" s="4">
        <v>1</v>
      </c>
      <c r="D11" s="8">
        <f>Table4[[#This Row],[SAR_wholebody (mW/kg)]]*10^3/Table4[[#This Row],[Input Power (mW)]]</f>
        <v>2.3131785378075742</v>
      </c>
      <c r="E11" s="8">
        <f>Table4[[#This Row],[SAR_head (mW/kg)]]*10^3/Table4[[#This Row],[Input Power (mW)]]</f>
        <v>3.6655669692003023</v>
      </c>
      <c r="F11" s="8">
        <f>Table4[[#This Row],[SAR_trunk (mW/kg)]]*10^3/Table4[[#This Row],[Input Power (mW)]]</f>
        <v>3.7898270024034342</v>
      </c>
      <c r="G11" s="8">
        <f>Table4[[#This Row],[psSAR10g_eyes (mW/kg)]]*10^3/Table4[[#This Row],[Input Power (mW)]]</f>
        <v>18.262214847801534</v>
      </c>
      <c r="H11" s="8">
        <f>Table4[[#This Row],[psSAR10g_skin (mW/kg)]]*10^3/Table4[[#This Row],[Input Power (mW)]]</f>
        <v>26.973958127566668</v>
      </c>
      <c r="I11" s="8">
        <f>Table4[[#This Row],[psSAR10g_brain (mW/kg)]]*10^3/Table4[[#This Row],[Input Power (mW)]]</f>
        <v>34.312480377208907</v>
      </c>
      <c r="J11" s="8">
        <f>Table4[[#This Row],[SAR_brain (mW/kg)]]*10^3/Table4[[#This Row],[Input Power (mW)]]</f>
        <v>3.9808805332758772</v>
      </c>
    </row>
    <row r="12" spans="1:10" ht="15.75" customHeight="1" x14ac:dyDescent="0.35">
      <c r="A12" s="5">
        <v>835</v>
      </c>
      <c r="B12" s="5" t="s">
        <v>11</v>
      </c>
      <c r="C12" s="5">
        <v>1</v>
      </c>
      <c r="D12" s="9">
        <f>Table4[[#This Row],[SAR_wholebody (mW/kg)]]*10^3/Table4[[#This Row],[Input Power (mW)]]</f>
        <v>2.4911391475319342</v>
      </c>
      <c r="E12" s="9">
        <f>Table4[[#This Row],[SAR_head (mW/kg)]]*10^3/Table4[[#This Row],[Input Power (mW)]]</f>
        <v>3.7554172601941098</v>
      </c>
      <c r="F12" s="9">
        <f>Table4[[#This Row],[SAR_trunk (mW/kg)]]*10^3/Table4[[#This Row],[Input Power (mW)]]</f>
        <v>3.2204699553912546</v>
      </c>
      <c r="G12" s="9">
        <f>Table4[[#This Row],[psSAR10g_eyes (mW/kg)]]*10^3/Table4[[#This Row],[Input Power (mW)]]</f>
        <v>22.745962925977018</v>
      </c>
      <c r="H12" s="9">
        <f>Table4[[#This Row],[psSAR10g_skin (mW/kg)]]*10^3/Table4[[#This Row],[Input Power (mW)]]</f>
        <v>27.513341301469737</v>
      </c>
      <c r="I12" s="9">
        <f>Table4[[#This Row],[psSAR10g_brain (mW/kg)]]*10^3/Table4[[#This Row],[Input Power (mW)]]</f>
        <v>22.754036291425347</v>
      </c>
      <c r="J12" s="9">
        <f>Table4[[#This Row],[SAR_brain (mW/kg)]]*10^3/Table4[[#This Row],[Input Power (mW)]]</f>
        <v>4.4738518808986845</v>
      </c>
    </row>
    <row r="13" spans="1:10" ht="15.75" customHeight="1" x14ac:dyDescent="0.35">
      <c r="A13" s="4">
        <v>835</v>
      </c>
      <c r="B13" s="4" t="s">
        <v>12</v>
      </c>
      <c r="C13" s="4">
        <v>1</v>
      </c>
      <c r="D13" s="8">
        <f>Table4[[#This Row],[SAR_wholebody (mW/kg)]]*10^3/Table4[[#This Row],[Input Power (mW)]]</f>
        <v>2.402764551011654</v>
      </c>
      <c r="E13" s="8">
        <f>Table4[[#This Row],[SAR_head (mW/kg)]]*10^3/Table4[[#This Row],[Input Power (mW)]]</f>
        <v>2.4985487737658816</v>
      </c>
      <c r="F13" s="8">
        <f>Table4[[#This Row],[SAR_trunk (mW/kg)]]*10^3/Table4[[#This Row],[Input Power (mW)]]</f>
        <v>4.1389311813636969</v>
      </c>
      <c r="G13" s="8">
        <f>Table4[[#This Row],[psSAR10g_eyes (mW/kg)]]*10^3/Table4[[#This Row],[Input Power (mW)]]</f>
        <v>8.0256699304261847</v>
      </c>
      <c r="H13" s="8">
        <f>Table4[[#This Row],[psSAR10g_skin (mW/kg)]]*10^3/Table4[[#This Row],[Input Power (mW)]]</f>
        <v>20.776588837183862</v>
      </c>
      <c r="I13" s="8">
        <f>Table4[[#This Row],[psSAR10g_brain (mW/kg)]]*10^3/Table4[[#This Row],[Input Power (mW)]]</f>
        <v>18.752197921231975</v>
      </c>
      <c r="J13" s="8">
        <f>Table4[[#This Row],[SAR_brain (mW/kg)]]*10^3/Table4[[#This Row],[Input Power (mW)]]</f>
        <v>2.4569385260666663</v>
      </c>
    </row>
    <row r="14" spans="1:10" ht="15.75" customHeight="1" x14ac:dyDescent="0.35">
      <c r="A14" s="5">
        <v>835</v>
      </c>
      <c r="B14" s="5" t="s">
        <v>13</v>
      </c>
      <c r="C14" s="5">
        <v>1</v>
      </c>
      <c r="D14" s="9">
        <f>Table4[[#This Row],[SAR_wholebody (mW/kg)]]*10^3/Table4[[#This Row],[Input Power (mW)]]</f>
        <v>2.2797824375309124</v>
      </c>
      <c r="E14" s="9">
        <f>Table4[[#This Row],[SAR_head (mW/kg)]]*10^3/Table4[[#This Row],[Input Power (mW)]]</f>
        <v>3.9896583083441097</v>
      </c>
      <c r="F14" s="9">
        <f>Table4[[#This Row],[SAR_trunk (mW/kg)]]*10^3/Table4[[#This Row],[Input Power (mW)]]</f>
        <v>2.5021894405434342</v>
      </c>
      <c r="G14" s="9">
        <f>Table4[[#This Row],[psSAR10g_eyes (mW/kg)]]*10^3/Table4[[#This Row],[Input Power (mW)]]</f>
        <v>21.383549875859295</v>
      </c>
      <c r="H14" s="9">
        <f>Table4[[#This Row],[psSAR10g_skin (mW/kg)]]*10^3/Table4[[#This Row],[Input Power (mW)]]</f>
        <v>27.046405548890572</v>
      </c>
      <c r="I14" s="9">
        <f>Table4[[#This Row],[psSAR10g_brain (mW/kg)]]*10^3/Table4[[#This Row],[Input Power (mW)]]</f>
        <v>27.424868018811097</v>
      </c>
      <c r="J14" s="9">
        <f>Table4[[#This Row],[SAR_brain (mW/kg)]]*10^3/Table4[[#This Row],[Input Power (mW)]]</f>
        <v>5.1272292980429821</v>
      </c>
    </row>
    <row r="15" spans="1:10" ht="15.75" customHeight="1" x14ac:dyDescent="0.35">
      <c r="A15" s="4">
        <v>835</v>
      </c>
      <c r="B15" s="4" t="s">
        <v>14</v>
      </c>
      <c r="C15" s="4">
        <v>1</v>
      </c>
      <c r="D15" s="8">
        <f>Table4[[#This Row],[SAR_wholebody (mW/kg)]]*10^3/Table4[[#This Row],[Input Power (mW)]]</f>
        <v>2.292521132848711</v>
      </c>
      <c r="E15" s="8">
        <f>Table4[[#This Row],[SAR_head (mW/kg)]]*10^3/Table4[[#This Row],[Input Power (mW)]]</f>
        <v>3.9248582838957411</v>
      </c>
      <c r="F15" s="8">
        <f>Table4[[#This Row],[SAR_trunk (mW/kg)]]*10^3/Table4[[#This Row],[Input Power (mW)]]</f>
        <v>3.540625405835149</v>
      </c>
      <c r="G15" s="8">
        <f>Table4[[#This Row],[psSAR10g_eyes (mW/kg)]]*10^3/Table4[[#This Row],[Input Power (mW)]]</f>
        <v>18.946606851207633</v>
      </c>
      <c r="H15" s="8">
        <f>Table4[[#This Row],[psSAR10g_skin (mW/kg)]]*10^3/Table4[[#This Row],[Input Power (mW)]]</f>
        <v>28.388721399686403</v>
      </c>
      <c r="I15" s="8">
        <f>Table4[[#This Row],[psSAR10g_brain (mW/kg)]]*10^3/Table4[[#This Row],[Input Power (mW)]]</f>
        <v>35.47872300862943</v>
      </c>
      <c r="J15" s="8">
        <f>Table4[[#This Row],[SAR_brain (mW/kg)]]*10^3/Table4[[#This Row],[Input Power (mW)]]</f>
        <v>4.0597829816425444</v>
      </c>
    </row>
    <row r="16" spans="1:10" ht="15.75" customHeight="1" x14ac:dyDescent="0.35">
      <c r="A16" s="5">
        <v>835</v>
      </c>
      <c r="B16" s="5" t="s">
        <v>15</v>
      </c>
      <c r="C16" s="5">
        <v>1</v>
      </c>
      <c r="D16" s="9">
        <f>Table4[[#This Row],[SAR_wholebody (mW/kg)]]*10^3/Table4[[#This Row],[Input Power (mW)]]</f>
        <v>2.220584756112193</v>
      </c>
      <c r="E16" s="9">
        <f>Table4[[#This Row],[SAR_head (mW/kg)]]*10^3/Table4[[#This Row],[Input Power (mW)]]</f>
        <v>3.9685647476248596</v>
      </c>
      <c r="F16" s="9">
        <f>Table4[[#This Row],[SAR_trunk (mW/kg)]]*10^3/Table4[[#This Row],[Input Power (mW)]]</f>
        <v>2.6046084699410041</v>
      </c>
      <c r="G16" s="9">
        <f>Table4[[#This Row],[psSAR10g_eyes (mW/kg)]]*10^3/Table4[[#This Row],[Input Power (mW)]]</f>
        <v>22.929345158420791</v>
      </c>
      <c r="H16" s="9">
        <f>Table4[[#This Row],[psSAR10g_skin (mW/kg)]]*10^3/Table4[[#This Row],[Input Power (mW)]]</f>
        <v>28.753713808498116</v>
      </c>
      <c r="I16" s="9">
        <f>Table4[[#This Row],[psSAR10g_brain (mW/kg)]]*10^3/Table4[[#This Row],[Input Power (mW)]]</f>
        <v>33.812157930873596</v>
      </c>
      <c r="J16" s="9">
        <f>Table4[[#This Row],[SAR_brain (mW/kg)]]*10^3/Table4[[#This Row],[Input Power (mW)]]</f>
        <v>5.1978346512605258</v>
      </c>
    </row>
    <row r="17" spans="1:10" ht="15.75" customHeight="1" thickBot="1" x14ac:dyDescent="0.4">
      <c r="A17" s="6">
        <v>835</v>
      </c>
      <c r="B17" s="6" t="s">
        <v>16</v>
      </c>
      <c r="C17" s="6">
        <v>1</v>
      </c>
      <c r="D17" s="10">
        <f>Table4[[#This Row],[SAR_wholebody (mW/kg)]]*10^3/Table4[[#This Row],[Input Power (mW)]]</f>
        <v>2.3267142119949784</v>
      </c>
      <c r="E17" s="10">
        <f>Table4[[#This Row],[SAR_head (mW/kg)]]*10^3/Table4[[#This Row],[Input Power (mW)]]</f>
        <v>3.6076232495883072</v>
      </c>
      <c r="F17" s="10">
        <f>Table4[[#This Row],[SAR_trunk (mW/kg)]]*10^3/Table4[[#This Row],[Input Power (mW)]]</f>
        <v>3.81339127734282</v>
      </c>
      <c r="G17" s="10">
        <f>Table4[[#This Row],[psSAR10g_eyes (mW/kg)]]*10^3/Table4[[#This Row],[Input Power (mW)]]</f>
        <v>18.875221933045616</v>
      </c>
      <c r="H17" s="10">
        <f>Table4[[#This Row],[psSAR10g_skin (mW/kg)]]*10^3/Table4[[#This Row],[Input Power (mW)]]</f>
        <v>26.646967666000482</v>
      </c>
      <c r="I17" s="10">
        <f>Table4[[#This Row],[psSAR10g_brain (mW/kg)]]*10^3/Table4[[#This Row],[Input Power (mW)]]</f>
        <v>31.806599271939341</v>
      </c>
      <c r="J17" s="10">
        <f>Table4[[#This Row],[SAR_brain (mW/kg)]]*10^3/Table4[[#This Row],[Input Power (mW)]]</f>
        <v>3.8150819845394737</v>
      </c>
    </row>
    <row r="18" spans="1:10" ht="15.75" customHeight="1" x14ac:dyDescent="0.35">
      <c r="A18" s="3">
        <v>1450</v>
      </c>
      <c r="B18" s="3" t="s">
        <v>9</v>
      </c>
      <c r="C18" s="3">
        <v>1</v>
      </c>
      <c r="D18" s="7">
        <f>Table4[[#This Row],[SAR_wholebody (mW/kg)]]*10^3/Table4[[#This Row],[Input Power (mW)]]</f>
        <v>1.5184078672530565</v>
      </c>
      <c r="E18" s="7">
        <f>Table4[[#This Row],[SAR_head (mW/kg)]]*10^3/Table4[[#This Row],[Input Power (mW)]]</f>
        <v>5.822361206604735</v>
      </c>
      <c r="F18" s="7">
        <f>Table4[[#This Row],[SAR_trunk (mW/kg)]]*10^3/Table4[[#This Row],[Input Power (mW)]]</f>
        <v>1.9355948141348489</v>
      </c>
      <c r="G18" s="7">
        <f>Table4[[#This Row],[psSAR10g_eyes (mW/kg)]]*10^3/Table4[[#This Row],[Input Power (mW)]]</f>
        <v>33.098520246849617</v>
      </c>
      <c r="H18" s="7">
        <f>Table4[[#This Row],[psSAR10g_skin (mW/kg)]]*10^3/Table4[[#This Row],[Input Power (mW)]]</f>
        <v>62.945158038189248</v>
      </c>
      <c r="I18" s="7">
        <f>Table4[[#This Row],[psSAR10g_brain (mW/kg)]]*10^3/Table4[[#This Row],[Input Power (mW)]]</f>
        <v>38.803119959486139</v>
      </c>
      <c r="J18" s="7">
        <f>Table4[[#This Row],[SAR_brain (mW/kg)]]*10^3/Table4[[#This Row],[Input Power (mW)]]</f>
        <v>3.3008478853650938</v>
      </c>
    </row>
    <row r="19" spans="1:10" ht="15.75" customHeight="1" x14ac:dyDescent="0.35">
      <c r="A19" s="4">
        <v>1450</v>
      </c>
      <c r="B19" s="4" t="s">
        <v>10</v>
      </c>
      <c r="C19" s="4">
        <v>1</v>
      </c>
      <c r="D19" s="8">
        <f>Table4[[#This Row],[SAR_wholebody (mW/kg)]]*10^3/Table4[[#This Row],[Input Power (mW)]]</f>
        <v>2.3639910653416796</v>
      </c>
      <c r="E19" s="8">
        <f>Table4[[#This Row],[SAR_head (mW/kg)]]*10^3/Table4[[#This Row],[Input Power (mW)]]</f>
        <v>9.0617591545334157</v>
      </c>
      <c r="F19" s="8">
        <f>Table4[[#This Row],[SAR_trunk (mW/kg)]]*10^3/Table4[[#This Row],[Input Power (mW)]]</f>
        <v>2.9141993653463301</v>
      </c>
      <c r="G19" s="8">
        <f>Table4[[#This Row],[psSAR10g_eyes (mW/kg)]]*10^3/Table4[[#This Row],[Input Power (mW)]]</f>
        <v>38.403871191149335</v>
      </c>
      <c r="H19" s="8">
        <f>Table4[[#This Row],[psSAR10g_skin (mW/kg)]]*10^3/Table4[[#This Row],[Input Power (mW)]]</f>
        <v>57.213416574541981</v>
      </c>
      <c r="I19" s="8">
        <f>Table4[[#This Row],[psSAR10g_brain (mW/kg)]]*10^3/Table4[[#This Row],[Input Power (mW)]]</f>
        <v>58.751220509982261</v>
      </c>
      <c r="J19" s="8">
        <f>Table4[[#This Row],[SAR_brain (mW/kg)]]*10^3/Table4[[#This Row],[Input Power (mW)]]</f>
        <v>5.354970191151887</v>
      </c>
    </row>
    <row r="20" spans="1:10" ht="15.75" customHeight="1" x14ac:dyDescent="0.35">
      <c r="A20" s="5">
        <v>1450</v>
      </c>
      <c r="B20" s="5" t="s">
        <v>11</v>
      </c>
      <c r="C20" s="5">
        <v>1</v>
      </c>
      <c r="D20" s="9">
        <f>Table4[[#This Row],[SAR_wholebody (mW/kg)]]*10^3/Table4[[#This Row],[Input Power (mW)]]</f>
        <v>1.7717536376505285</v>
      </c>
      <c r="E20" s="9">
        <f>Table4[[#This Row],[SAR_head (mW/kg)]]*10^3/Table4[[#This Row],[Input Power (mW)]]</f>
        <v>6.2583057776055089</v>
      </c>
      <c r="F20" s="9">
        <f>Table4[[#This Row],[SAR_trunk (mW/kg)]]*10^3/Table4[[#This Row],[Input Power (mW)]]</f>
        <v>2.2382621422673772</v>
      </c>
      <c r="G20" s="9">
        <f>Table4[[#This Row],[psSAR10g_eyes (mW/kg)]]*10^3/Table4[[#This Row],[Input Power (mW)]]</f>
        <v>25.286567844643866</v>
      </c>
      <c r="H20" s="9">
        <f>Table4[[#This Row],[psSAR10g_skin (mW/kg)]]*10^3/Table4[[#This Row],[Input Power (mW)]]</f>
        <v>60.046460610840668</v>
      </c>
      <c r="I20" s="9">
        <f>Table4[[#This Row],[psSAR10g_brain (mW/kg)]]*10^3/Table4[[#This Row],[Input Power (mW)]]</f>
        <v>23.637117137742266</v>
      </c>
      <c r="J20" s="9">
        <f>Table4[[#This Row],[SAR_brain (mW/kg)]]*10^3/Table4[[#This Row],[Input Power (mW)]]</f>
        <v>2.5731747833396224</v>
      </c>
    </row>
    <row r="21" spans="1:10" ht="15.75" customHeight="1" x14ac:dyDescent="0.35">
      <c r="A21" s="4">
        <v>1450</v>
      </c>
      <c r="B21" s="4" t="s">
        <v>12</v>
      </c>
      <c r="C21" s="4">
        <v>1</v>
      </c>
      <c r="D21" s="8">
        <f>Table4[[#This Row],[SAR_wholebody (mW/kg)]]*10^3/Table4[[#This Row],[Input Power (mW)]]</f>
        <v>2.6402698072089814</v>
      </c>
      <c r="E21" s="8">
        <f>Table4[[#This Row],[SAR_head (mW/kg)]]*10^3/Table4[[#This Row],[Input Power (mW)]]</f>
        <v>9.2789911482054634</v>
      </c>
      <c r="F21" s="8">
        <f>Table4[[#This Row],[SAR_trunk (mW/kg)]]*10^3/Table4[[#This Row],[Input Power (mW)]]</f>
        <v>3.5868801201916507</v>
      </c>
      <c r="G21" s="8">
        <f>Table4[[#This Row],[psSAR10g_eyes (mW/kg)]]*10^3/Table4[[#This Row],[Input Power (mW)]]</f>
        <v>31.892213867702829</v>
      </c>
      <c r="H21" s="8">
        <f>Table4[[#This Row],[psSAR10g_skin (mW/kg)]]*10^3/Table4[[#This Row],[Input Power (mW)]]</f>
        <v>64.239400207454906</v>
      </c>
      <c r="I21" s="8">
        <f>Table4[[#This Row],[psSAR10g_brain (mW/kg)]]*10^3/Table4[[#This Row],[Input Power (mW)]]</f>
        <v>38.952404061499152</v>
      </c>
      <c r="J21" s="8">
        <f>Table4[[#This Row],[SAR_brain (mW/kg)]]*10^3/Table4[[#This Row],[Input Power (mW)]]</f>
        <v>3.8696952892132082</v>
      </c>
    </row>
    <row r="22" spans="1:10" ht="15.75" customHeight="1" x14ac:dyDescent="0.35">
      <c r="A22" s="5">
        <v>1450</v>
      </c>
      <c r="B22" s="5" t="s">
        <v>13</v>
      </c>
      <c r="C22" s="5">
        <v>1</v>
      </c>
      <c r="D22" s="9">
        <f>Table4[[#This Row],[SAR_wholebody (mW/kg)]]*10^3/Table4[[#This Row],[Input Power (mW)]]</f>
        <v>1.5577713827340662</v>
      </c>
      <c r="E22" s="9">
        <f>Table4[[#This Row],[SAR_head (mW/kg)]]*10^3/Table4[[#This Row],[Input Power (mW)]]</f>
        <v>6.3096996863527073</v>
      </c>
      <c r="F22" s="9">
        <f>Table4[[#This Row],[SAR_trunk (mW/kg)]]*10^3/Table4[[#This Row],[Input Power (mW)]]</f>
        <v>2.1007263893011698</v>
      </c>
      <c r="G22" s="9">
        <f>Table4[[#This Row],[psSAR10g_eyes (mW/kg)]]*10^3/Table4[[#This Row],[Input Power (mW)]]</f>
        <v>31.08108545012783</v>
      </c>
      <c r="H22" s="9">
        <f>Table4[[#This Row],[psSAR10g_skin (mW/kg)]]*10^3/Table4[[#This Row],[Input Power (mW)]]</f>
        <v>70.072967665024436</v>
      </c>
      <c r="I22" s="9">
        <f>Table4[[#This Row],[psSAR10g_brain (mW/kg)]]*10^3/Table4[[#This Row],[Input Power (mW)]]</f>
        <v>45.779357248612165</v>
      </c>
      <c r="J22" s="9">
        <f>Table4[[#This Row],[SAR_brain (mW/kg)]]*10^3/Table4[[#This Row],[Input Power (mW)]]</f>
        <v>3.4596121673443392</v>
      </c>
    </row>
    <row r="23" spans="1:10" ht="15.75" customHeight="1" x14ac:dyDescent="0.35">
      <c r="A23" s="4">
        <v>1450</v>
      </c>
      <c r="B23" s="4" t="s">
        <v>14</v>
      </c>
      <c r="C23" s="4">
        <v>1</v>
      </c>
      <c r="D23" s="8">
        <f>Table4[[#This Row],[SAR_wholebody (mW/kg)]]*10^3/Table4[[#This Row],[Input Power (mW)]]</f>
        <v>2.3182460327696699</v>
      </c>
      <c r="E23" s="8">
        <f>Table4[[#This Row],[SAR_head (mW/kg)]]*10^3/Table4[[#This Row],[Input Power (mW)]]</f>
        <v>9.3620673014874622</v>
      </c>
      <c r="F23" s="8">
        <f>Table4[[#This Row],[SAR_trunk (mW/kg)]]*10^3/Table4[[#This Row],[Input Power (mW)]]</f>
        <v>2.9192975547755853</v>
      </c>
      <c r="G23" s="8">
        <f>Table4[[#This Row],[psSAR10g_eyes (mW/kg)]]*10^3/Table4[[#This Row],[Input Power (mW)]]</f>
        <v>34.64628972432434</v>
      </c>
      <c r="H23" s="8">
        <f>Table4[[#This Row],[psSAR10g_skin (mW/kg)]]*10^3/Table4[[#This Row],[Input Power (mW)]]</f>
        <v>56.670783878099435</v>
      </c>
      <c r="I23" s="8">
        <f>Table4[[#This Row],[psSAR10g_brain (mW/kg)]]*10^3/Table4[[#This Row],[Input Power (mW)]]</f>
        <v>56.045435275357264</v>
      </c>
      <c r="J23" s="8">
        <f>Table4[[#This Row],[SAR_brain (mW/kg)]]*10^3/Table4[[#This Row],[Input Power (mW)]]</f>
        <v>5.0122058199556605</v>
      </c>
    </row>
    <row r="24" spans="1:10" ht="15.75" customHeight="1" x14ac:dyDescent="0.35">
      <c r="A24" s="5">
        <v>1450</v>
      </c>
      <c r="B24" s="5" t="s">
        <v>15</v>
      </c>
      <c r="C24" s="5">
        <v>1</v>
      </c>
      <c r="D24" s="9">
        <f>Table4[[#This Row],[SAR_wholebody (mW/kg)]]*10^3/Table4[[#This Row],[Input Power (mW)]]</f>
        <v>1.5045502629444056</v>
      </c>
      <c r="E24" s="9">
        <f>Table4[[#This Row],[SAR_head (mW/kg)]]*10^3/Table4[[#This Row],[Input Power (mW)]]</f>
        <v>5.6751607753098297</v>
      </c>
      <c r="F24" s="9">
        <f>Table4[[#This Row],[SAR_trunk (mW/kg)]]*10^3/Table4[[#This Row],[Input Power (mW)]]</f>
        <v>1.9473811808190284</v>
      </c>
      <c r="G24" s="9">
        <f>Table4[[#This Row],[psSAR10g_eyes (mW/kg)]]*10^3/Table4[[#This Row],[Input Power (mW)]]</f>
        <v>34.590378196721133</v>
      </c>
      <c r="H24" s="9">
        <f>Table4[[#This Row],[psSAR10g_skin (mW/kg)]]*10^3/Table4[[#This Row],[Input Power (mW)]]</f>
        <v>54.967970249227925</v>
      </c>
      <c r="I24" s="9">
        <f>Table4[[#This Row],[psSAR10g_brain (mW/kg)]]*10^3/Table4[[#This Row],[Input Power (mW)]]</f>
        <v>31.808647957754435</v>
      </c>
      <c r="J24" s="9">
        <f>Table4[[#This Row],[SAR_brain (mW/kg)]]*10^3/Table4[[#This Row],[Input Power (mW)]]</f>
        <v>3.3000933316707544</v>
      </c>
    </row>
    <row r="25" spans="1:10" ht="15.75" customHeight="1" thickBot="1" x14ac:dyDescent="0.4">
      <c r="A25" s="6">
        <v>1450</v>
      </c>
      <c r="B25" s="6" t="s">
        <v>16</v>
      </c>
      <c r="C25" s="6">
        <v>1</v>
      </c>
      <c r="D25" s="10">
        <f>Table4[[#This Row],[SAR_wholebody (mW/kg)]]*10^3/Table4[[#This Row],[Input Power (mW)]]</f>
        <v>2.3826732496359524</v>
      </c>
      <c r="E25" s="10">
        <f>Table4[[#This Row],[SAR_head (mW/kg)]]*10^3/Table4[[#This Row],[Input Power (mW)]]</f>
        <v>9.3081279104615664</v>
      </c>
      <c r="F25" s="10">
        <f>Table4[[#This Row],[SAR_trunk (mW/kg)]]*10^3/Table4[[#This Row],[Input Power (mW)]]</f>
        <v>3.2700306081617354</v>
      </c>
      <c r="G25" s="10">
        <f>Table4[[#This Row],[psSAR10g_eyes (mW/kg)]]*10^3/Table4[[#This Row],[Input Power (mW)]]</f>
        <v>39.832451818237637</v>
      </c>
      <c r="H25" s="10">
        <f>Table4[[#This Row],[psSAR10g_skin (mW/kg)]]*10^3/Table4[[#This Row],[Input Power (mW)]]</f>
        <v>55.873851172800379</v>
      </c>
      <c r="I25" s="10">
        <f>Table4[[#This Row],[psSAR10g_brain (mW/kg)]]*10^3/Table4[[#This Row],[Input Power (mW)]]</f>
        <v>58.059006116616231</v>
      </c>
      <c r="J25" s="10">
        <f>Table4[[#This Row],[SAR_brain (mW/kg)]]*10^3/Table4[[#This Row],[Input Power (mW)]]</f>
        <v>5.4901840368207546</v>
      </c>
    </row>
    <row r="26" spans="1:10" ht="15.75" customHeight="1" x14ac:dyDescent="0.35">
      <c r="A26" s="3">
        <v>2140</v>
      </c>
      <c r="B26" s="3" t="s">
        <v>9</v>
      </c>
      <c r="C26" s="3">
        <v>1</v>
      </c>
      <c r="D26" s="7">
        <f>Table4[[#This Row],[SAR_wholebody (mW/kg)]]*10^3/Table4[[#This Row],[Input Power (mW)]]</f>
        <v>2.2532384179648335</v>
      </c>
      <c r="E26" s="7">
        <f>Table4[[#This Row],[SAR_head (mW/kg)]]*10^3/Table4[[#This Row],[Input Power (mW)]]</f>
        <v>9.1697487113232192</v>
      </c>
      <c r="F26" s="7">
        <f>Table4[[#This Row],[SAR_trunk (mW/kg)]]*10^3/Table4[[#This Row],[Input Power (mW)]]</f>
        <v>2.9575596810428206</v>
      </c>
      <c r="G26" s="7">
        <f>Table4[[#This Row],[psSAR10g_eyes (mW/kg)]]*10^3/Table4[[#This Row],[Input Power (mW)]]</f>
        <v>60.274886618276668</v>
      </c>
      <c r="H26" s="7">
        <f>Table4[[#This Row],[psSAR10g_skin (mW/kg)]]*10^3/Table4[[#This Row],[Input Power (mW)]]</f>
        <v>143.59980976883591</v>
      </c>
      <c r="I26" s="7">
        <f>Table4[[#This Row],[psSAR10g_brain (mW/kg)]]*10^3/Table4[[#This Row],[Input Power (mW)]]</f>
        <v>33.654095706116792</v>
      </c>
      <c r="J26" s="7">
        <f>Table4[[#This Row],[SAR_brain (mW/kg)]]*10^3/Table4[[#This Row],[Input Power (mW)]]</f>
        <v>2.633506725697436</v>
      </c>
    </row>
    <row r="27" spans="1:10" ht="15.75" customHeight="1" x14ac:dyDescent="0.35">
      <c r="A27" s="4">
        <v>2140</v>
      </c>
      <c r="B27" s="4" t="s">
        <v>10</v>
      </c>
      <c r="C27" s="4">
        <v>1</v>
      </c>
      <c r="D27" s="8">
        <f>Table4[[#This Row],[SAR_wholebody (mW/kg)]]*10^3/Table4[[#This Row],[Input Power (mW)]]</f>
        <v>2.9754814979802435</v>
      </c>
      <c r="E27" s="8">
        <f>Table4[[#This Row],[SAR_head (mW/kg)]]*10^3/Table4[[#This Row],[Input Power (mW)]]</f>
        <v>12.092030256315654</v>
      </c>
      <c r="F27" s="8">
        <f>Table4[[#This Row],[SAR_trunk (mW/kg)]]*10^3/Table4[[#This Row],[Input Power (mW)]]</f>
        <v>3.455669680292782</v>
      </c>
      <c r="G27" s="8">
        <f>Table4[[#This Row],[psSAR10g_eyes (mW/kg)]]*10^3/Table4[[#This Row],[Input Power (mW)]]</f>
        <v>45.985979426119741</v>
      </c>
      <c r="H27" s="8">
        <f>Table4[[#This Row],[psSAR10g_skin (mW/kg)]]*10^3/Table4[[#This Row],[Input Power (mW)]]</f>
        <v>110.84235543949103</v>
      </c>
      <c r="I27" s="8">
        <f>Table4[[#This Row],[psSAR10g_brain (mW/kg)]]*10^3/Table4[[#This Row],[Input Power (mW)]]</f>
        <v>46.386292790963466</v>
      </c>
      <c r="J27" s="8">
        <f>Table4[[#This Row],[SAR_brain (mW/kg)]]*10^3/Table4[[#This Row],[Input Power (mW)]]</f>
        <v>3.9279432495769222</v>
      </c>
    </row>
    <row r="28" spans="1:10" ht="15.75" customHeight="1" x14ac:dyDescent="0.35">
      <c r="A28" s="5">
        <v>2140</v>
      </c>
      <c r="B28" s="5" t="s">
        <v>11</v>
      </c>
      <c r="C28" s="5">
        <v>1</v>
      </c>
      <c r="D28" s="9">
        <f>Table4[[#This Row],[SAR_wholebody (mW/kg)]]*10^3/Table4[[#This Row],[Input Power (mW)]]</f>
        <v>2.5755869280332053</v>
      </c>
      <c r="E28" s="9">
        <f>Table4[[#This Row],[SAR_head (mW/kg)]]*10^3/Table4[[#This Row],[Input Power (mW)]]</f>
        <v>8.8697318432069494</v>
      </c>
      <c r="F28" s="9">
        <f>Table4[[#This Row],[SAR_trunk (mW/kg)]]*10^3/Table4[[#This Row],[Input Power (mW)]]</f>
        <v>3.0949053660684616</v>
      </c>
      <c r="G28" s="9">
        <f>Table4[[#This Row],[psSAR10g_eyes (mW/kg)]]*10^3/Table4[[#This Row],[Input Power (mW)]]</f>
        <v>36.64162168579859</v>
      </c>
      <c r="H28" s="9">
        <f>Table4[[#This Row],[psSAR10g_skin (mW/kg)]]*10^3/Table4[[#This Row],[Input Power (mW)]]</f>
        <v>81.164650351994368</v>
      </c>
      <c r="I28" s="9">
        <f>Table4[[#This Row],[psSAR10g_brain (mW/kg)]]*10^3/Table4[[#This Row],[Input Power (mW)]]</f>
        <v>24.895828384405</v>
      </c>
      <c r="J28" s="9">
        <f>Table4[[#This Row],[SAR_brain (mW/kg)]]*10^3/Table4[[#This Row],[Input Power (mW)]]</f>
        <v>1.8065739207769229</v>
      </c>
    </row>
    <row r="29" spans="1:10" ht="15.75" customHeight="1" x14ac:dyDescent="0.35">
      <c r="A29" s="4">
        <v>2140</v>
      </c>
      <c r="B29" s="4" t="s">
        <v>12</v>
      </c>
      <c r="C29" s="4">
        <v>1</v>
      </c>
      <c r="D29" s="8">
        <f>Table4[[#This Row],[SAR_wholebody (mW/kg)]]*10^3/Table4[[#This Row],[Input Power (mW)]]</f>
        <v>3.3439382359092948</v>
      </c>
      <c r="E29" s="8">
        <f>Table4[[#This Row],[SAR_head (mW/kg)]]*10^3/Table4[[#This Row],[Input Power (mW)]]</f>
        <v>11.630404506956333</v>
      </c>
      <c r="F29" s="8">
        <f>Table4[[#This Row],[SAR_trunk (mW/kg)]]*10^3/Table4[[#This Row],[Input Power (mW)]]</f>
        <v>4.0257439645579751</v>
      </c>
      <c r="G29" s="8">
        <f>Table4[[#This Row],[psSAR10g_eyes (mW/kg)]]*10^3/Table4[[#This Row],[Input Power (mW)]]</f>
        <v>34.35045967643449</v>
      </c>
      <c r="H29" s="8">
        <f>Table4[[#This Row],[psSAR10g_skin (mW/kg)]]*10^3/Table4[[#This Row],[Input Power (mW)]]</f>
        <v>93.00676142195077</v>
      </c>
      <c r="I29" s="8">
        <f>Table4[[#This Row],[psSAR10g_brain (mW/kg)]]*10^3/Table4[[#This Row],[Input Power (mW)]]</f>
        <v>36.653494515321412</v>
      </c>
      <c r="J29" s="8">
        <f>Table4[[#This Row],[SAR_brain (mW/kg)]]*10^3/Table4[[#This Row],[Input Power (mW)]]</f>
        <v>3.1679845147423076</v>
      </c>
    </row>
    <row r="30" spans="1:10" ht="15.75" customHeight="1" x14ac:dyDescent="0.35">
      <c r="A30" s="5">
        <v>2140</v>
      </c>
      <c r="B30" s="5" t="s">
        <v>13</v>
      </c>
      <c r="C30" s="5">
        <v>1</v>
      </c>
      <c r="D30" s="9">
        <f>Table4[[#This Row],[SAR_wholebody (mW/kg)]]*10^3/Table4[[#This Row],[Input Power (mW)]]</f>
        <v>2.2518545799396921</v>
      </c>
      <c r="E30" s="9">
        <f>Table4[[#This Row],[SAR_head (mW/kg)]]*10^3/Table4[[#This Row],[Input Power (mW)]]</f>
        <v>8.3324784584632301</v>
      </c>
      <c r="F30" s="9">
        <f>Table4[[#This Row],[SAR_trunk (mW/kg)]]*10^3/Table4[[#This Row],[Input Power (mW)]]</f>
        <v>2.9294459897684102</v>
      </c>
      <c r="G30" s="9">
        <f>Table4[[#This Row],[psSAR10g_eyes (mW/kg)]]*10^3/Table4[[#This Row],[Input Power (mW)]]</f>
        <v>64.986664383466405</v>
      </c>
      <c r="H30" s="9">
        <f>Table4[[#This Row],[psSAR10g_skin (mW/kg)]]*10^3/Table4[[#This Row],[Input Power (mW)]]</f>
        <v>137.68876592113847</v>
      </c>
      <c r="I30" s="9">
        <f>Table4[[#This Row],[psSAR10g_brain (mW/kg)]]*10^3/Table4[[#This Row],[Input Power (mW)]]</f>
        <v>32.036814536947823</v>
      </c>
      <c r="J30" s="9">
        <f>Table4[[#This Row],[SAR_brain (mW/kg)]]*10^3/Table4[[#This Row],[Input Power (mW)]]</f>
        <v>2.8208336353679484</v>
      </c>
    </row>
    <row r="31" spans="1:10" ht="15.75" customHeight="1" x14ac:dyDescent="0.35">
      <c r="A31" s="4">
        <v>2140</v>
      </c>
      <c r="B31" s="4" t="s">
        <v>14</v>
      </c>
      <c r="C31" s="4">
        <v>1</v>
      </c>
      <c r="D31" s="8">
        <f>Table4[[#This Row],[SAR_wholebody (mW/kg)]]*10^3/Table4[[#This Row],[Input Power (mW)]]</f>
        <v>2.9776252731214869</v>
      </c>
      <c r="E31" s="8">
        <f>Table4[[#This Row],[SAR_head (mW/kg)]]*10^3/Table4[[#This Row],[Input Power (mW)]]</f>
        <v>12.094716244310796</v>
      </c>
      <c r="F31" s="8">
        <f>Table4[[#This Row],[SAR_trunk (mW/kg)]]*10^3/Table4[[#This Row],[Input Power (mW)]]</f>
        <v>3.4548526153668977</v>
      </c>
      <c r="G31" s="8">
        <f>Table4[[#This Row],[psSAR10g_eyes (mW/kg)]]*10^3/Table4[[#This Row],[Input Power (mW)]]</f>
        <v>42.508202376515513</v>
      </c>
      <c r="H31" s="8">
        <f>Table4[[#This Row],[psSAR10g_skin (mW/kg)]]*10^3/Table4[[#This Row],[Input Power (mW)]]</f>
        <v>115.72505201535718</v>
      </c>
      <c r="I31" s="8">
        <f>Table4[[#This Row],[psSAR10g_brain (mW/kg)]]*10^3/Table4[[#This Row],[Input Power (mW)]]</f>
        <v>43.431906762912945</v>
      </c>
      <c r="J31" s="8">
        <f>Table4[[#This Row],[SAR_brain (mW/kg)]]*10^3/Table4[[#This Row],[Input Power (mW)]]</f>
        <v>3.9049378589743591</v>
      </c>
    </row>
    <row r="32" spans="1:10" ht="15.75" customHeight="1" x14ac:dyDescent="0.35">
      <c r="A32" s="5">
        <v>2140</v>
      </c>
      <c r="B32" s="5" t="s">
        <v>15</v>
      </c>
      <c r="C32" s="5">
        <v>1</v>
      </c>
      <c r="D32" s="9">
        <f>Table4[[#This Row],[SAR_wholebody (mW/kg)]]*10^3/Table4[[#This Row],[Input Power (mW)]]</f>
        <v>2.258133347054641</v>
      </c>
      <c r="E32" s="9">
        <f>Table4[[#This Row],[SAR_head (mW/kg)]]*10^3/Table4[[#This Row],[Input Power (mW)]]</f>
        <v>8.2140268573241162</v>
      </c>
      <c r="F32" s="9">
        <f>Table4[[#This Row],[SAR_trunk (mW/kg)]]*10^3/Table4[[#This Row],[Input Power (mW)]]</f>
        <v>2.7872501172554358</v>
      </c>
      <c r="G32" s="9">
        <f>Table4[[#This Row],[psSAR10g_eyes (mW/kg)]]*10^3/Table4[[#This Row],[Input Power (mW)]]</f>
        <v>60.186440662028851</v>
      </c>
      <c r="H32" s="9">
        <f>Table4[[#This Row],[psSAR10g_skin (mW/kg)]]*10^3/Table4[[#This Row],[Input Power (mW)]]</f>
        <v>137.9068626506064</v>
      </c>
      <c r="I32" s="9">
        <f>Table4[[#This Row],[psSAR10g_brain (mW/kg)]]*10^3/Table4[[#This Row],[Input Power (mW)]]</f>
        <v>36.476552167700902</v>
      </c>
      <c r="J32" s="9">
        <f>Table4[[#This Row],[SAR_brain (mW/kg)]]*10^3/Table4[[#This Row],[Input Power (mW)]]</f>
        <v>2.4959627152846156</v>
      </c>
    </row>
    <row r="33" spans="1:10" ht="15.75" customHeight="1" thickBot="1" x14ac:dyDescent="0.4">
      <c r="A33" s="6">
        <v>2140</v>
      </c>
      <c r="B33" s="6" t="s">
        <v>16</v>
      </c>
      <c r="C33" s="6">
        <v>1</v>
      </c>
      <c r="D33" s="10">
        <f>Table4[[#This Row],[SAR_wholebody (mW/kg)]]*10^3/Table4[[#This Row],[Input Power (mW)]]</f>
        <v>2.9221710556466922</v>
      </c>
      <c r="E33" s="10">
        <f>Table4[[#This Row],[SAR_head (mW/kg)]]*10^3/Table4[[#This Row],[Input Power (mW)]]</f>
        <v>11.107836473790346</v>
      </c>
      <c r="F33" s="10">
        <f>Table4[[#This Row],[SAR_trunk (mW/kg)]]*10^3/Table4[[#This Row],[Input Power (mW)]]</f>
        <v>3.8320254242144234</v>
      </c>
      <c r="G33" s="10">
        <f>Table4[[#This Row],[psSAR10g_eyes (mW/kg)]]*10^3/Table4[[#This Row],[Input Power (mW)]]</f>
        <v>47.150604819776156</v>
      </c>
      <c r="H33" s="10">
        <f>Table4[[#This Row],[psSAR10g_skin (mW/kg)]]*10^3/Table4[[#This Row],[Input Power (mW)]]</f>
        <v>103.2436039153595</v>
      </c>
      <c r="I33" s="10">
        <f>Table4[[#This Row],[psSAR10g_brain (mW/kg)]]*10^3/Table4[[#This Row],[Input Power (mW)]]</f>
        <v>47.393900024600903</v>
      </c>
      <c r="J33" s="10">
        <f>Table4[[#This Row],[SAR_brain (mW/kg)]]*10^3/Table4[[#This Row],[Input Power (mW)]]</f>
        <v>3.8457272737987185</v>
      </c>
    </row>
    <row r="34" spans="1:10" ht="15.75" customHeight="1" x14ac:dyDescent="0.35">
      <c r="A34" s="3">
        <v>2450</v>
      </c>
      <c r="B34" s="3" t="s">
        <v>9</v>
      </c>
      <c r="C34" s="3">
        <v>1</v>
      </c>
      <c r="D34" s="7">
        <f>Table4[[#This Row],[SAR_wholebody (mW/kg)]]*10^3/Table4[[#This Row],[Input Power (mW)]]</f>
        <v>2.1853269461025269</v>
      </c>
      <c r="E34" s="7">
        <f>Table4[[#This Row],[SAR_head (mW/kg)]]*10^3/Table4[[#This Row],[Input Power (mW)]]</f>
        <v>10.069360605530594</v>
      </c>
      <c r="F34" s="7">
        <f>Table4[[#This Row],[SAR_trunk (mW/kg)]]*10^3/Table4[[#This Row],[Input Power (mW)]]</f>
        <v>3.3397300602830944</v>
      </c>
      <c r="G34" s="7">
        <f>Table4[[#This Row],[psSAR10g_eyes (mW/kg)]]*10^3/Table4[[#This Row],[Input Power (mW)]]</f>
        <v>77.831160119839993</v>
      </c>
      <c r="H34" s="7">
        <f>Table4[[#This Row],[psSAR10g_skin (mW/kg)]]*10^3/Table4[[#This Row],[Input Power (mW)]]</f>
        <v>147.14518631782838</v>
      </c>
      <c r="I34" s="7">
        <f>Table4[[#This Row],[psSAR10g_brain (mW/kg)]]*10^3/Table4[[#This Row],[Input Power (mW)]]</f>
        <v>35.774589480915139</v>
      </c>
      <c r="J34" s="7">
        <f>Table4[[#This Row],[SAR_brain (mW/kg)]]*10^3/Table4[[#This Row],[Input Power (mW)]]</f>
        <v>2.4710593601297299</v>
      </c>
    </row>
    <row r="35" spans="1:10" ht="15.75" customHeight="1" x14ac:dyDescent="0.35">
      <c r="A35" s="4">
        <v>2450</v>
      </c>
      <c r="B35" s="4" t="s">
        <v>10</v>
      </c>
      <c r="C35" s="4">
        <v>1</v>
      </c>
      <c r="D35" s="8">
        <f>Table4[[#This Row],[SAR_wholebody (mW/kg)]]*10^3/Table4[[#This Row],[Input Power (mW)]]</f>
        <v>3.3147546162168648</v>
      </c>
      <c r="E35" s="8">
        <f>Table4[[#This Row],[SAR_head (mW/kg)]]*10^3/Table4[[#This Row],[Input Power (mW)]]</f>
        <v>14.090480081737837</v>
      </c>
      <c r="F35" s="8">
        <f>Table4[[#This Row],[SAR_trunk (mW/kg)]]*10^3/Table4[[#This Row],[Input Power (mW)]]</f>
        <v>5.3034848331346076</v>
      </c>
      <c r="G35" s="8">
        <f>Table4[[#This Row],[psSAR10g_eyes (mW/kg)]]*10^3/Table4[[#This Row],[Input Power (mW)]]</f>
        <v>62.153716356259999</v>
      </c>
      <c r="H35" s="8">
        <f>Table4[[#This Row],[psSAR10g_skin (mW/kg)]]*10^3/Table4[[#This Row],[Input Power (mW)]]</f>
        <v>120.81556755445568</v>
      </c>
      <c r="I35" s="8">
        <f>Table4[[#This Row],[psSAR10g_brain (mW/kg)]]*10^3/Table4[[#This Row],[Input Power (mW)]]</f>
        <v>52.233223844715134</v>
      </c>
      <c r="J35" s="8">
        <f>Table4[[#This Row],[SAR_brain (mW/kg)]]*10^3/Table4[[#This Row],[Input Power (mW)]]</f>
        <v>3.76842208889054</v>
      </c>
    </row>
    <row r="36" spans="1:10" ht="15.75" customHeight="1" x14ac:dyDescent="0.35">
      <c r="A36" s="5">
        <v>2450</v>
      </c>
      <c r="B36" s="5" t="s">
        <v>11</v>
      </c>
      <c r="C36" s="5">
        <v>1</v>
      </c>
      <c r="D36" s="9">
        <f>Table4[[#This Row],[SAR_wholebody (mW/kg)]]*10^3/Table4[[#This Row],[Input Power (mW)]]</f>
        <v>2.5132218489130675</v>
      </c>
      <c r="E36" s="9">
        <f>Table4[[#This Row],[SAR_head (mW/kg)]]*10^3/Table4[[#This Row],[Input Power (mW)]]</f>
        <v>10.578342080380446</v>
      </c>
      <c r="F36" s="9">
        <f>Table4[[#This Row],[SAR_trunk (mW/kg)]]*10^3/Table4[[#This Row],[Input Power (mW)]]</f>
        <v>3.8326370456779326</v>
      </c>
      <c r="G36" s="9">
        <f>Table4[[#This Row],[psSAR10g_eyes (mW/kg)]]*10^3/Table4[[#This Row],[Input Power (mW)]]</f>
        <v>44.50506136872027</v>
      </c>
      <c r="H36" s="9">
        <f>Table4[[#This Row],[psSAR10g_skin (mW/kg)]]*10^3/Table4[[#This Row],[Input Power (mW)]]</f>
        <v>109.82713992817027</v>
      </c>
      <c r="I36" s="9">
        <f>Table4[[#This Row],[psSAR10g_brain (mW/kg)]]*10^3/Table4[[#This Row],[Input Power (mW)]]</f>
        <v>21.704197985743921</v>
      </c>
      <c r="J36" s="9">
        <f>Table4[[#This Row],[SAR_brain (mW/kg)]]*10^3/Table4[[#This Row],[Input Power (mW)]]</f>
        <v>1.5561303197445946</v>
      </c>
    </row>
    <row r="37" spans="1:10" ht="15.75" customHeight="1" x14ac:dyDescent="0.35">
      <c r="A37" s="4">
        <v>2450</v>
      </c>
      <c r="B37" s="4" t="s">
        <v>12</v>
      </c>
      <c r="C37" s="4">
        <v>1</v>
      </c>
      <c r="D37" s="8">
        <f>Table4[[#This Row],[SAR_wholebody (mW/kg)]]*10^3/Table4[[#This Row],[Input Power (mW)]]</f>
        <v>3.8223061907898379</v>
      </c>
      <c r="E37" s="8">
        <f>Table4[[#This Row],[SAR_head (mW/kg)]]*10^3/Table4[[#This Row],[Input Power (mW)]]</f>
        <v>15.05548352140446</v>
      </c>
      <c r="F37" s="8">
        <f>Table4[[#This Row],[SAR_trunk (mW/kg)]]*10^3/Table4[[#This Row],[Input Power (mW)]]</f>
        <v>6.2106584133061755</v>
      </c>
      <c r="G37" s="8">
        <f>Table4[[#This Row],[psSAR10g_eyes (mW/kg)]]*10^3/Table4[[#This Row],[Input Power (mW)]]</f>
        <v>47.063849686041351</v>
      </c>
      <c r="H37" s="8">
        <f>Table4[[#This Row],[psSAR10g_skin (mW/kg)]]*10^3/Table4[[#This Row],[Input Power (mW)]]</f>
        <v>114.29292036890187</v>
      </c>
      <c r="I37" s="8">
        <f>Table4[[#This Row],[psSAR10g_brain (mW/kg)]]*10^3/Table4[[#This Row],[Input Power (mW)]]</f>
        <v>35.187886859583912</v>
      </c>
      <c r="J37" s="8">
        <f>Table4[[#This Row],[SAR_brain (mW/kg)]]*10^3/Table4[[#This Row],[Input Power (mW)]]</f>
        <v>2.6577746495554053</v>
      </c>
    </row>
    <row r="38" spans="1:10" ht="15.75" customHeight="1" x14ac:dyDescent="0.35">
      <c r="A38" s="5">
        <v>2450</v>
      </c>
      <c r="B38" s="5" t="s">
        <v>13</v>
      </c>
      <c r="C38" s="5">
        <v>1</v>
      </c>
      <c r="D38" s="9">
        <f>Table4[[#This Row],[SAR_wholebody (mW/kg)]]*10^3/Table4[[#This Row],[Input Power (mW)]]</f>
        <v>2.1609034111007297</v>
      </c>
      <c r="E38" s="9">
        <f>Table4[[#This Row],[SAR_head (mW/kg)]]*10^3/Table4[[#This Row],[Input Power (mW)]]</f>
        <v>9.6601980343925682</v>
      </c>
      <c r="F38" s="9">
        <f>Table4[[#This Row],[SAR_trunk (mW/kg)]]*10^3/Table4[[#This Row],[Input Power (mW)]]</f>
        <v>3.3987050844875135</v>
      </c>
      <c r="G38" s="9">
        <f>Table4[[#This Row],[psSAR10g_eyes (mW/kg)]]*10^3/Table4[[#This Row],[Input Power (mW)]]</f>
        <v>68.422371742854722</v>
      </c>
      <c r="H38" s="9">
        <f>Table4[[#This Row],[psSAR10g_skin (mW/kg)]]*10^3/Table4[[#This Row],[Input Power (mW)]]</f>
        <v>148.8379280513027</v>
      </c>
      <c r="I38" s="9">
        <f>Table4[[#This Row],[psSAR10g_brain (mW/kg)]]*10^3/Table4[[#This Row],[Input Power (mW)]]</f>
        <v>33.739799857455544</v>
      </c>
      <c r="J38" s="9">
        <f>Table4[[#This Row],[SAR_brain (mW/kg)]]*10^3/Table4[[#This Row],[Input Power (mW)]]</f>
        <v>2.6422416347121622</v>
      </c>
    </row>
    <row r="39" spans="1:10" ht="15.75" customHeight="1" x14ac:dyDescent="0.35">
      <c r="A39" s="4">
        <v>2450</v>
      </c>
      <c r="B39" s="4" t="s">
        <v>14</v>
      </c>
      <c r="C39" s="4">
        <v>1</v>
      </c>
      <c r="D39" s="8">
        <f>Table4[[#This Row],[SAR_wholebody (mW/kg)]]*10^3/Table4[[#This Row],[Input Power (mW)]]</f>
        <v>3.3022486061508247</v>
      </c>
      <c r="E39" s="8">
        <f>Table4[[#This Row],[SAR_head (mW/kg)]]*10^3/Table4[[#This Row],[Input Power (mW)]]</f>
        <v>14.576135370177701</v>
      </c>
      <c r="F39" s="8">
        <f>Table4[[#This Row],[SAR_trunk (mW/kg)]]*10^3/Table4[[#This Row],[Input Power (mW)]]</f>
        <v>4.8120652718167163</v>
      </c>
      <c r="G39" s="8">
        <f>Table4[[#This Row],[psSAR10g_eyes (mW/kg)]]*10^3/Table4[[#This Row],[Input Power (mW)]]</f>
        <v>51.964808457435268</v>
      </c>
      <c r="H39" s="8">
        <f>Table4[[#This Row],[psSAR10g_skin (mW/kg)]]*10^3/Table4[[#This Row],[Input Power (mW)]]</f>
        <v>124.55518094385015</v>
      </c>
      <c r="I39" s="8">
        <f>Table4[[#This Row],[psSAR10g_brain (mW/kg)]]*10^3/Table4[[#This Row],[Input Power (mW)]]</f>
        <v>45.809859683003651</v>
      </c>
      <c r="J39" s="8">
        <f>Table4[[#This Row],[SAR_brain (mW/kg)]]*10^3/Table4[[#This Row],[Input Power (mW)]]</f>
        <v>3.6132218808135135</v>
      </c>
    </row>
    <row r="40" spans="1:10" ht="15.75" customHeight="1" x14ac:dyDescent="0.35">
      <c r="A40" s="5">
        <v>2450</v>
      </c>
      <c r="B40" s="5" t="s">
        <v>15</v>
      </c>
      <c r="C40" s="5">
        <v>1</v>
      </c>
      <c r="D40" s="9">
        <f>Table4[[#This Row],[SAR_wholebody (mW/kg)]]*10^3/Table4[[#This Row],[Input Power (mW)]]</f>
        <v>2.2037446374089322</v>
      </c>
      <c r="E40" s="9">
        <f>Table4[[#This Row],[SAR_head (mW/kg)]]*10^3/Table4[[#This Row],[Input Power (mW)]]</f>
        <v>8.8334876495299604</v>
      </c>
      <c r="F40" s="9">
        <f>Table4[[#This Row],[SAR_trunk (mW/kg)]]*10^3/Table4[[#This Row],[Input Power (mW)]]</f>
        <v>3.507995369026649</v>
      </c>
      <c r="G40" s="9">
        <f>Table4[[#This Row],[psSAR10g_eyes (mW/kg)]]*10^3/Table4[[#This Row],[Input Power (mW)]]</f>
        <v>83.748323063274853</v>
      </c>
      <c r="H40" s="9">
        <f>Table4[[#This Row],[psSAR10g_skin (mW/kg)]]*10^3/Table4[[#This Row],[Input Power (mW)]]</f>
        <v>144.09857542006893</v>
      </c>
      <c r="I40" s="9">
        <f>Table4[[#This Row],[psSAR10g_brain (mW/kg)]]*10^3/Table4[[#This Row],[Input Power (mW)]]</f>
        <v>39.822225493574322</v>
      </c>
      <c r="J40" s="9">
        <f>Table4[[#This Row],[SAR_brain (mW/kg)]]*10^3/Table4[[#This Row],[Input Power (mW)]]</f>
        <v>2.2335093806648647</v>
      </c>
    </row>
    <row r="41" spans="1:10" ht="15.75" customHeight="1" thickBot="1" x14ac:dyDescent="0.4">
      <c r="A41" s="6">
        <v>2450</v>
      </c>
      <c r="B41" s="6" t="s">
        <v>16</v>
      </c>
      <c r="C41" s="6">
        <v>1</v>
      </c>
      <c r="D41" s="10">
        <f>Table4[[#This Row],[SAR_wholebody (mW/kg)]]*10^3/Table4[[#This Row],[Input Power (mW)]]</f>
        <v>3.2893656283532025</v>
      </c>
      <c r="E41" s="10">
        <f>Table4[[#This Row],[SAR_head (mW/kg)]]*10^3/Table4[[#This Row],[Input Power (mW)]]</f>
        <v>14.369301740732702</v>
      </c>
      <c r="F41" s="10">
        <f>Table4[[#This Row],[SAR_trunk (mW/kg)]]*10^3/Table4[[#This Row],[Input Power (mW)]]</f>
        <v>5.47579961715177</v>
      </c>
      <c r="G41" s="10">
        <f>Table4[[#This Row],[psSAR10g_eyes (mW/kg)]]*10^3/Table4[[#This Row],[Input Power (mW)]]</f>
        <v>68.510233326914872</v>
      </c>
      <c r="H41" s="10">
        <f>Table4[[#This Row],[psSAR10g_skin (mW/kg)]]*10^3/Table4[[#This Row],[Input Power (mW)]]</f>
        <v>112.79784420235687</v>
      </c>
      <c r="I41" s="10">
        <f>Table4[[#This Row],[psSAR10g_brain (mW/kg)]]*10^3/Table4[[#This Row],[Input Power (mW)]]</f>
        <v>55.795969856952425</v>
      </c>
      <c r="J41" s="10">
        <f>Table4[[#This Row],[SAR_brain (mW/kg)]]*10^3/Table4[[#This Row],[Input Power (mW)]]</f>
        <v>3.7077423050662164</v>
      </c>
    </row>
    <row r="42" spans="1:10" ht="15.75" customHeight="1" x14ac:dyDescent="0.35">
      <c r="A42" s="3">
        <v>3500</v>
      </c>
      <c r="B42" s="3" t="s">
        <v>9</v>
      </c>
      <c r="C42" s="3">
        <v>1</v>
      </c>
      <c r="D42" s="7">
        <f>Table4[[#This Row],[SAR_wholebody (mW/kg)]]*10^3/Table4[[#This Row],[Input Power (mW)]]</f>
        <v>1.2102982708536436</v>
      </c>
      <c r="E42" s="7">
        <f>Table4[[#This Row],[SAR_head (mW/kg)]]*10^3/Table4[[#This Row],[Input Power (mW)]]</f>
        <v>6.653135266077455</v>
      </c>
      <c r="F42" s="7">
        <f>Table4[[#This Row],[SAR_trunk (mW/kg)]]*10^3/Table4[[#This Row],[Input Power (mW)]]</f>
        <v>1.0176743601030018</v>
      </c>
      <c r="G42" s="7">
        <f>Table4[[#This Row],[psSAR10g_eyes (mW/kg)]]*10^3/Table4[[#This Row],[Input Power (mW)]]</f>
        <v>83.184410880240733</v>
      </c>
      <c r="H42" s="7">
        <f>Table4[[#This Row],[psSAR10g_skin (mW/kg)]]*10^3/Table4[[#This Row],[Input Power (mW)]]</f>
        <v>107.13383621422217</v>
      </c>
      <c r="I42" s="7">
        <f>Table4[[#This Row],[psSAR10g_brain (mW/kg)]]*10^3/Table4[[#This Row],[Input Power (mW)]]</f>
        <v>55.610335340312183</v>
      </c>
      <c r="J42" s="7">
        <f>Table4[[#This Row],[SAR_brain (mW/kg)]]*10^3/Table4[[#This Row],[Input Power (mW)]]</f>
        <v>1.9160162546600001</v>
      </c>
    </row>
    <row r="43" spans="1:10" ht="15.75" customHeight="1" x14ac:dyDescent="0.35">
      <c r="A43" s="4">
        <v>3500</v>
      </c>
      <c r="B43" s="4" t="s">
        <v>10</v>
      </c>
      <c r="C43" s="4">
        <v>1</v>
      </c>
      <c r="D43" s="8">
        <f>Table4[[#This Row],[SAR_wholebody (mW/kg)]]*10^3/Table4[[#This Row],[Input Power (mW)]]</f>
        <v>2.4760595856478731</v>
      </c>
      <c r="E43" s="8">
        <f>Table4[[#This Row],[SAR_head (mW/kg)]]*10^3/Table4[[#This Row],[Input Power (mW)]]</f>
        <v>11.58247983738311</v>
      </c>
      <c r="F43" s="8">
        <f>Table4[[#This Row],[SAR_trunk (mW/kg)]]*10^3/Table4[[#This Row],[Input Power (mW)]]</f>
        <v>2.1909346310408</v>
      </c>
      <c r="G43" s="8">
        <f>Table4[[#This Row],[psSAR10g_eyes (mW/kg)]]*10^3/Table4[[#This Row],[Input Power (mW)]]</f>
        <v>57.197751667254913</v>
      </c>
      <c r="H43" s="8">
        <f>Table4[[#This Row],[psSAR10g_skin (mW/kg)]]*10^3/Table4[[#This Row],[Input Power (mW)]]</f>
        <v>113.08401815704272</v>
      </c>
      <c r="I43" s="8">
        <f>Table4[[#This Row],[psSAR10g_brain (mW/kg)]]*10^3/Table4[[#This Row],[Input Power (mW)]]</f>
        <v>34.894339807970546</v>
      </c>
      <c r="J43" s="8">
        <f>Table4[[#This Row],[SAR_brain (mW/kg)]]*10^3/Table4[[#This Row],[Input Power (mW)]]</f>
        <v>1.3179319022081275</v>
      </c>
    </row>
    <row r="44" spans="1:10" ht="15.75" customHeight="1" x14ac:dyDescent="0.35">
      <c r="A44" s="5">
        <v>3500</v>
      </c>
      <c r="B44" s="5" t="s">
        <v>11</v>
      </c>
      <c r="C44" s="5">
        <v>1</v>
      </c>
      <c r="D44" s="9">
        <f>Table4[[#This Row],[SAR_wholebody (mW/kg)]]*10^3/Table4[[#This Row],[Input Power (mW)]]</f>
        <v>1.5862251213733471</v>
      </c>
      <c r="E44" s="9">
        <f>Table4[[#This Row],[SAR_head (mW/kg)]]*10^3/Table4[[#This Row],[Input Power (mW)]]</f>
        <v>7.609325350483255</v>
      </c>
      <c r="F44" s="9">
        <f>Table4[[#This Row],[SAR_trunk (mW/kg)]]*10^3/Table4[[#This Row],[Input Power (mW)]]</f>
        <v>1.3831065035399255</v>
      </c>
      <c r="G44" s="9">
        <f>Table4[[#This Row],[psSAR10g_eyes (mW/kg)]]*10^3/Table4[[#This Row],[Input Power (mW)]]</f>
        <v>89.609887167079265</v>
      </c>
      <c r="H44" s="9">
        <f>Table4[[#This Row],[psSAR10g_skin (mW/kg)]]*10^3/Table4[[#This Row],[Input Power (mW)]]</f>
        <v>168.08993431491325</v>
      </c>
      <c r="I44" s="9">
        <f>Table4[[#This Row],[psSAR10g_brain (mW/kg)]]*10^3/Table4[[#This Row],[Input Power (mW)]]</f>
        <v>50.195871447128361</v>
      </c>
      <c r="J44" s="9">
        <f>Table4[[#This Row],[SAR_brain (mW/kg)]]*10^3/Table4[[#This Row],[Input Power (mW)]]</f>
        <v>1.3922342639199947</v>
      </c>
    </row>
    <row r="45" spans="1:10" ht="15.75" customHeight="1" x14ac:dyDescent="0.35">
      <c r="A45" s="4">
        <v>3500</v>
      </c>
      <c r="B45" s="4" t="s">
        <v>12</v>
      </c>
      <c r="C45" s="4">
        <v>1</v>
      </c>
      <c r="D45" s="8">
        <f>Table4[[#This Row],[SAR_wholebody (mW/kg)]]*10^3/Table4[[#This Row],[Input Power (mW)]]</f>
        <v>2.635431082557782</v>
      </c>
      <c r="E45" s="8">
        <f>Table4[[#This Row],[SAR_head (mW/kg)]]*10^3/Table4[[#This Row],[Input Power (mW)]]</f>
        <v>12.021207354213544</v>
      </c>
      <c r="F45" s="8">
        <f>Table4[[#This Row],[SAR_trunk (mW/kg)]]*10^3/Table4[[#This Row],[Input Power (mW)]]</f>
        <v>2.2627057879943093</v>
      </c>
      <c r="G45" s="8">
        <f>Table4[[#This Row],[psSAR10g_eyes (mW/kg)]]*10^3/Table4[[#This Row],[Input Power (mW)]]</f>
        <v>47.738611753905452</v>
      </c>
      <c r="H45" s="8">
        <f>Table4[[#This Row],[psSAR10g_skin (mW/kg)]]*10^3/Table4[[#This Row],[Input Power (mW)]]</f>
        <v>80.891477249619271</v>
      </c>
      <c r="I45" s="8">
        <f>Table4[[#This Row],[psSAR10g_brain (mW/kg)]]*10^3/Table4[[#This Row],[Input Power (mW)]]</f>
        <v>28.879478905913814</v>
      </c>
      <c r="J45" s="8">
        <f>Table4[[#This Row],[SAR_brain (mW/kg)]]*10^3/Table4[[#This Row],[Input Power (mW)]]</f>
        <v>0.97894972164344884</v>
      </c>
    </row>
    <row r="46" spans="1:10" ht="15.75" customHeight="1" x14ac:dyDescent="0.35">
      <c r="A46" s="5">
        <v>3500</v>
      </c>
      <c r="B46" s="5" t="s">
        <v>13</v>
      </c>
      <c r="C46" s="5">
        <v>1</v>
      </c>
      <c r="D46" s="9">
        <f>Table4[[#This Row],[SAR_wholebody (mW/kg)]]*10^3/Table4[[#This Row],[Input Power (mW)]]</f>
        <v>1.1587447923111764</v>
      </c>
      <c r="E46" s="9">
        <f>Table4[[#This Row],[SAR_head (mW/kg)]]*10^3/Table4[[#This Row],[Input Power (mW)]]</f>
        <v>5.6322960825142179</v>
      </c>
      <c r="F46" s="9">
        <f>Table4[[#This Row],[SAR_trunk (mW/kg)]]*10^3/Table4[[#This Row],[Input Power (mW)]]</f>
        <v>0.93981460321204191</v>
      </c>
      <c r="G46" s="9">
        <f>Table4[[#This Row],[psSAR10g_eyes (mW/kg)]]*10^3/Table4[[#This Row],[Input Power (mW)]]</f>
        <v>82.852369843869269</v>
      </c>
      <c r="H46" s="9">
        <f>Table4[[#This Row],[psSAR10g_skin (mW/kg)]]*10^3/Table4[[#This Row],[Input Power (mW)]]</f>
        <v>94.554909578073634</v>
      </c>
      <c r="I46" s="9">
        <f>Table4[[#This Row],[psSAR10g_brain (mW/kg)]]*10^3/Table4[[#This Row],[Input Power (mW)]]</f>
        <v>52.438028671095275</v>
      </c>
      <c r="J46" s="9">
        <f>Table4[[#This Row],[SAR_brain (mW/kg)]]*10^3/Table4[[#This Row],[Input Power (mW)]]</f>
        <v>1.8533482381454547</v>
      </c>
    </row>
    <row r="47" spans="1:10" ht="15.75" customHeight="1" x14ac:dyDescent="0.35">
      <c r="A47" s="4">
        <v>3500</v>
      </c>
      <c r="B47" s="4" t="s">
        <v>14</v>
      </c>
      <c r="C47" s="4">
        <v>1</v>
      </c>
      <c r="D47" s="8">
        <f>Table4[[#This Row],[SAR_wholebody (mW/kg)]]*10^3/Table4[[#This Row],[Input Power (mW)]]</f>
        <v>2.2652746388756548</v>
      </c>
      <c r="E47" s="8">
        <f>Table4[[#This Row],[SAR_head (mW/kg)]]*10^3/Table4[[#This Row],[Input Power (mW)]]</f>
        <v>10.009622677210784</v>
      </c>
      <c r="F47" s="8">
        <f>Table4[[#This Row],[SAR_trunk (mW/kg)]]*10^3/Table4[[#This Row],[Input Power (mW)]]</f>
        <v>2.1829762444909817</v>
      </c>
      <c r="G47" s="8">
        <f>Table4[[#This Row],[psSAR10g_eyes (mW/kg)]]*10^3/Table4[[#This Row],[Input Power (mW)]]</f>
        <v>47.511953010101088</v>
      </c>
      <c r="H47" s="8">
        <f>Table4[[#This Row],[psSAR10g_skin (mW/kg)]]*10^3/Table4[[#This Row],[Input Power (mW)]]</f>
        <v>90.632633315505998</v>
      </c>
      <c r="I47" s="8">
        <f>Table4[[#This Row],[psSAR10g_brain (mW/kg)]]*10^3/Table4[[#This Row],[Input Power (mW)]]</f>
        <v>25.717225808348363</v>
      </c>
      <c r="J47" s="8">
        <f>Table4[[#This Row],[SAR_brain (mW/kg)]]*10^3/Table4[[#This Row],[Input Power (mW)]]</f>
        <v>1.1143621813315527</v>
      </c>
    </row>
    <row r="48" spans="1:10" ht="15.75" customHeight="1" x14ac:dyDescent="0.35">
      <c r="A48" s="5">
        <v>3500</v>
      </c>
      <c r="B48" s="5" t="s">
        <v>15</v>
      </c>
      <c r="C48" s="5">
        <v>1</v>
      </c>
      <c r="D48" s="9">
        <f>Table4[[#This Row],[SAR_wholebody (mW/kg)]]*10^3/Table4[[#This Row],[Input Power (mW)]]</f>
        <v>1.2670886847826563</v>
      </c>
      <c r="E48" s="9">
        <f>Table4[[#This Row],[SAR_head (mW/kg)]]*10^3/Table4[[#This Row],[Input Power (mW)]]</f>
        <v>6.8888058265507643</v>
      </c>
      <c r="F48" s="9">
        <f>Table4[[#This Row],[SAR_trunk (mW/kg)]]*10^3/Table4[[#This Row],[Input Power (mW)]]</f>
        <v>0.99849240854096899</v>
      </c>
      <c r="G48" s="9">
        <f>Table4[[#This Row],[psSAR10g_eyes (mW/kg)]]*10^3/Table4[[#This Row],[Input Power (mW)]]</f>
        <v>95.258023987376546</v>
      </c>
      <c r="H48" s="9">
        <f>Table4[[#This Row],[psSAR10g_skin (mW/kg)]]*10^3/Table4[[#This Row],[Input Power (mW)]]</f>
        <v>114.77302107335235</v>
      </c>
      <c r="I48" s="9">
        <f>Table4[[#This Row],[psSAR10g_brain (mW/kg)]]*10^3/Table4[[#This Row],[Input Power (mW)]]</f>
        <v>60.997462104541448</v>
      </c>
      <c r="J48" s="9">
        <f>Table4[[#This Row],[SAR_brain (mW/kg)]]*10^3/Table4[[#This Row],[Input Power (mW)]]</f>
        <v>2.0391239100363636</v>
      </c>
    </row>
    <row r="49" spans="1:10" ht="15.75" customHeight="1" thickBot="1" x14ac:dyDescent="0.4">
      <c r="A49" s="6">
        <v>3500</v>
      </c>
      <c r="B49" s="6" t="s">
        <v>16</v>
      </c>
      <c r="C49" s="6">
        <v>1</v>
      </c>
      <c r="D49" s="10">
        <f>Table4[[#This Row],[SAR_wholebody (mW/kg)]]*10^3/Table4[[#This Row],[Input Power (mW)]]</f>
        <v>2.6491651717080726</v>
      </c>
      <c r="E49" s="10">
        <f>Table4[[#This Row],[SAR_head (mW/kg)]]*10^3/Table4[[#This Row],[Input Power (mW)]]</f>
        <v>11.753686740490053</v>
      </c>
      <c r="F49" s="10">
        <f>Table4[[#This Row],[SAR_trunk (mW/kg)]]*10^3/Table4[[#This Row],[Input Power (mW)]]</f>
        <v>2.3409165305631636</v>
      </c>
      <c r="G49" s="10">
        <f>Table4[[#This Row],[psSAR10g_eyes (mW/kg)]]*10^3/Table4[[#This Row],[Input Power (mW)]]</f>
        <v>69.162336624193813</v>
      </c>
      <c r="H49" s="10">
        <f>Table4[[#This Row],[psSAR10g_skin (mW/kg)]]*10^3/Table4[[#This Row],[Input Power (mW)]]</f>
        <v>129.77709712087582</v>
      </c>
      <c r="I49" s="10">
        <f>Table4[[#This Row],[psSAR10g_brain (mW/kg)]]*10^3/Table4[[#This Row],[Input Power (mW)]]</f>
        <v>45.497754650526183</v>
      </c>
      <c r="J49" s="10">
        <f>Table4[[#This Row],[SAR_brain (mW/kg)]]*10^3/Table4[[#This Row],[Input Power (mW)]]</f>
        <v>1.4905915162263641</v>
      </c>
    </row>
    <row r="50" spans="1:10" ht="15.75" customHeight="1" x14ac:dyDescent="0.35">
      <c r="A50" s="3">
        <v>5200</v>
      </c>
      <c r="B50" s="3" t="s">
        <v>9</v>
      </c>
      <c r="C50" s="3">
        <v>1</v>
      </c>
      <c r="D50" s="7">
        <f>Table4[[#This Row],[SAR_wholebody (mW/kg)]]*10^3/Table4[[#This Row],[Input Power (mW)]]</f>
        <v>1.1814343231198527</v>
      </c>
      <c r="E50" s="7">
        <f>Table4[[#This Row],[SAR_head (mW/kg)]]*10^3/Table4[[#This Row],[Input Power (mW)]]</f>
        <v>3.6002413679600753</v>
      </c>
      <c r="F50" s="7">
        <f>Table4[[#This Row],[SAR_trunk (mW/kg)]]*10^3/Table4[[#This Row],[Input Power (mW)]]</f>
        <v>1.0630479848646528</v>
      </c>
      <c r="G50" s="7">
        <f>Table4[[#This Row],[psSAR10g_eyes (mW/kg)]]*10^3/Table4[[#This Row],[Input Power (mW)]]</f>
        <v>35.52949057321019</v>
      </c>
      <c r="H50" s="7">
        <f>Table4[[#This Row],[psSAR10g_skin (mW/kg)]]*10^3/Table4[[#This Row],[Input Power (mW)]]</f>
        <v>81.677043880813969</v>
      </c>
      <c r="I50" s="7">
        <f>Table4[[#This Row],[psSAR10g_brain (mW/kg)]]*10^3/Table4[[#This Row],[Input Power (mW)]]</f>
        <v>65.069838073358682</v>
      </c>
      <c r="J50" s="7">
        <f>Table4[[#This Row],[SAR_brain (mW/kg)]]*10^3/Table4[[#This Row],[Input Power (mW)]]</f>
        <v>0.58409188993493111</v>
      </c>
    </row>
    <row r="51" spans="1:10" ht="15.75" customHeight="1" x14ac:dyDescent="0.35">
      <c r="A51" s="4">
        <v>5200</v>
      </c>
      <c r="B51" s="4" t="s">
        <v>10</v>
      </c>
      <c r="C51" s="4">
        <v>1</v>
      </c>
      <c r="D51" s="8">
        <f>Table4[[#This Row],[SAR_wholebody (mW/kg)]]*10^3/Table4[[#This Row],[Input Power (mW)]]</f>
        <v>1.7578186550756678</v>
      </c>
      <c r="E51" s="8">
        <f>Table4[[#This Row],[SAR_head (mW/kg)]]*10^3/Table4[[#This Row],[Input Power (mW)]]</f>
        <v>4.8559202842397351</v>
      </c>
      <c r="F51" s="8">
        <f>Table4[[#This Row],[SAR_trunk (mW/kg)]]*10^3/Table4[[#This Row],[Input Power (mW)]]</f>
        <v>1.5510212224490039</v>
      </c>
      <c r="G51" s="8">
        <f>Table4[[#This Row],[psSAR10g_eyes (mW/kg)]]*10^3/Table4[[#This Row],[Input Power (mW)]]</f>
        <v>74.489422614920187</v>
      </c>
      <c r="H51" s="8">
        <f>Table4[[#This Row],[psSAR10g_skin (mW/kg)]]*10^3/Table4[[#This Row],[Input Power (mW)]]</f>
        <v>86.948961019941706</v>
      </c>
      <c r="I51" s="8">
        <f>Table4[[#This Row],[psSAR10g_brain (mW/kg)]]*10^3/Table4[[#This Row],[Input Power (mW)]]</f>
        <v>69.341829085956988</v>
      </c>
      <c r="J51" s="8">
        <f>Table4[[#This Row],[SAR_brain (mW/kg)]]*10^3/Table4[[#This Row],[Input Power (mW)]]</f>
        <v>0.45209208729437295</v>
      </c>
    </row>
    <row r="52" spans="1:10" ht="15.75" customHeight="1" x14ac:dyDescent="0.35">
      <c r="A52" s="5">
        <v>5200</v>
      </c>
      <c r="B52" s="5" t="s">
        <v>11</v>
      </c>
      <c r="C52" s="5">
        <v>1</v>
      </c>
      <c r="D52" s="9">
        <f>Table4[[#This Row],[SAR_wholebody (mW/kg)]]*10^3/Table4[[#This Row],[Input Power (mW)]]</f>
        <v>1.5067064164335566</v>
      </c>
      <c r="E52" s="9">
        <f>Table4[[#This Row],[SAR_head (mW/kg)]]*10^3/Table4[[#This Row],[Input Power (mW)]]</f>
        <v>4.4147498766976607</v>
      </c>
      <c r="F52" s="9">
        <f>Table4[[#This Row],[SAR_trunk (mW/kg)]]*10^3/Table4[[#This Row],[Input Power (mW)]]</f>
        <v>1.5155371460682585</v>
      </c>
      <c r="G52" s="9">
        <f>Table4[[#This Row],[psSAR10g_eyes (mW/kg)]]*10^3/Table4[[#This Row],[Input Power (mW)]]</f>
        <v>80.007140774728867</v>
      </c>
      <c r="H52" s="9">
        <f>Table4[[#This Row],[psSAR10g_skin (mW/kg)]]*10^3/Table4[[#This Row],[Input Power (mW)]]</f>
        <v>117.56448372055793</v>
      </c>
      <c r="I52" s="9">
        <f>Table4[[#This Row],[psSAR10g_brain (mW/kg)]]*10^3/Table4[[#This Row],[Input Power (mW)]]</f>
        <v>92.655529789273388</v>
      </c>
      <c r="J52" s="9">
        <f>Table4[[#This Row],[SAR_brain (mW/kg)]]*10^3/Table4[[#This Row],[Input Power (mW)]]</f>
        <v>0.70416021344254698</v>
      </c>
    </row>
    <row r="53" spans="1:10" ht="15.75" customHeight="1" x14ac:dyDescent="0.35">
      <c r="A53" s="4">
        <v>5200</v>
      </c>
      <c r="B53" s="4" t="s">
        <v>12</v>
      </c>
      <c r="C53" s="4">
        <v>1</v>
      </c>
      <c r="D53" s="8">
        <f>Table4[[#This Row],[SAR_wholebody (mW/kg)]]*10^3/Table4[[#This Row],[Input Power (mW)]]</f>
        <v>1.8696649211164642</v>
      </c>
      <c r="E53" s="8">
        <f>Table4[[#This Row],[SAR_head (mW/kg)]]*10^3/Table4[[#This Row],[Input Power (mW)]]</f>
        <v>5.2875199265081889</v>
      </c>
      <c r="F53" s="8">
        <f>Table4[[#This Row],[SAR_trunk (mW/kg)]]*10^3/Table4[[#This Row],[Input Power (mW)]]</f>
        <v>1.7547080848433152</v>
      </c>
      <c r="G53" s="8">
        <f>Table4[[#This Row],[psSAR10g_eyes (mW/kg)]]*10^3/Table4[[#This Row],[Input Power (mW)]]</f>
        <v>48.45140753441359</v>
      </c>
      <c r="H53" s="8">
        <f>Table4[[#This Row],[psSAR10g_skin (mW/kg)]]*10^3/Table4[[#This Row],[Input Power (mW)]]</f>
        <v>82.454328890670581</v>
      </c>
      <c r="I53" s="8">
        <f>Table4[[#This Row],[psSAR10g_brain (mW/kg)]]*10^3/Table4[[#This Row],[Input Power (mW)]]</f>
        <v>48.611384667897738</v>
      </c>
      <c r="J53" s="8">
        <f>Table4[[#This Row],[SAR_brain (mW/kg)]]*10^3/Table4[[#This Row],[Input Power (mW)]]</f>
        <v>0.28115562120384374</v>
      </c>
    </row>
    <row r="54" spans="1:10" ht="15.75" customHeight="1" x14ac:dyDescent="0.35">
      <c r="A54" s="5">
        <v>5200</v>
      </c>
      <c r="B54" s="5" t="s">
        <v>13</v>
      </c>
      <c r="C54" s="5">
        <v>1</v>
      </c>
      <c r="D54" s="9">
        <f>Table4[[#This Row],[SAR_wholebody (mW/kg)]]*10^3/Table4[[#This Row],[Input Power (mW)]]</f>
        <v>1.1906658082931565</v>
      </c>
      <c r="E54" s="9">
        <f>Table4[[#This Row],[SAR_head (mW/kg)]]*10^3/Table4[[#This Row],[Input Power (mW)]]</f>
        <v>3.5704076833397171</v>
      </c>
      <c r="F54" s="9">
        <f>Table4[[#This Row],[SAR_trunk (mW/kg)]]*10^3/Table4[[#This Row],[Input Power (mW)]]</f>
        <v>1.0831172758834924</v>
      </c>
      <c r="G54" s="9">
        <f>Table4[[#This Row],[psSAR10g_eyes (mW/kg)]]*10^3/Table4[[#This Row],[Input Power (mW)]]</f>
        <v>33.213775478027358</v>
      </c>
      <c r="H54" s="9">
        <f>Table4[[#This Row],[psSAR10g_skin (mW/kg)]]*10^3/Table4[[#This Row],[Input Power (mW)]]</f>
        <v>87.984529319546979</v>
      </c>
      <c r="I54" s="9">
        <f>Table4[[#This Row],[psSAR10g_brain (mW/kg)]]*10^3/Table4[[#This Row],[Input Power (mW)]]</f>
        <v>59.92639199351283</v>
      </c>
      <c r="J54" s="9">
        <f>Table4[[#This Row],[SAR_brain (mW/kg)]]*10^3/Table4[[#This Row],[Input Power (mW)]]</f>
        <v>0.54524667293117068</v>
      </c>
    </row>
    <row r="55" spans="1:10" ht="15.75" customHeight="1" x14ac:dyDescent="0.35">
      <c r="A55" s="4">
        <v>5200</v>
      </c>
      <c r="B55" s="4" t="s">
        <v>14</v>
      </c>
      <c r="C55" s="4">
        <v>1</v>
      </c>
      <c r="D55" s="8">
        <f>Table4[[#This Row],[SAR_wholebody (mW/kg)]]*10^3/Table4[[#This Row],[Input Power (mW)]]</f>
        <v>1.7447797580819659</v>
      </c>
      <c r="E55" s="8">
        <f>Table4[[#This Row],[SAR_head (mW/kg)]]*10^3/Table4[[#This Row],[Input Power (mW)]]</f>
        <v>4.9469386679284337</v>
      </c>
      <c r="F55" s="8">
        <f>Table4[[#This Row],[SAR_trunk (mW/kg)]]*10^3/Table4[[#This Row],[Input Power (mW)]]</f>
        <v>1.6416479370705566</v>
      </c>
      <c r="G55" s="8">
        <f>Table4[[#This Row],[psSAR10g_eyes (mW/kg)]]*10^3/Table4[[#This Row],[Input Power (mW)]]</f>
        <v>74.577215963696219</v>
      </c>
      <c r="H55" s="8">
        <f>Table4[[#This Row],[psSAR10g_skin (mW/kg)]]*10^3/Table4[[#This Row],[Input Power (mW)]]</f>
        <v>127.08575443230849</v>
      </c>
      <c r="I55" s="8">
        <f>Table4[[#This Row],[psSAR10g_brain (mW/kg)]]*10^3/Table4[[#This Row],[Input Power (mW)]]</f>
        <v>71.275099023841506</v>
      </c>
      <c r="J55" s="8">
        <f>Table4[[#This Row],[SAR_brain (mW/kg)]]*10^3/Table4[[#This Row],[Input Power (mW)]]</f>
        <v>0.43497460724504328</v>
      </c>
    </row>
    <row r="56" spans="1:10" ht="15.75" customHeight="1" x14ac:dyDescent="0.35">
      <c r="A56" s="5">
        <v>5200</v>
      </c>
      <c r="B56" s="5" t="s">
        <v>15</v>
      </c>
      <c r="C56" s="5">
        <v>1</v>
      </c>
      <c r="D56" s="9">
        <f>Table4[[#This Row],[SAR_wholebody (mW/kg)]]*10^3/Table4[[#This Row],[Input Power (mW)]]</f>
        <v>1.1890013071899133</v>
      </c>
      <c r="E56" s="9">
        <f>Table4[[#This Row],[SAR_head (mW/kg)]]*10^3/Table4[[#This Row],[Input Power (mW)]]</f>
        <v>3.7531888272460567</v>
      </c>
      <c r="F56" s="9">
        <f>Table4[[#This Row],[SAR_trunk (mW/kg)]]*10^3/Table4[[#This Row],[Input Power (mW)]]</f>
        <v>1.0629759466207094</v>
      </c>
      <c r="G56" s="9">
        <f>Table4[[#This Row],[psSAR10g_eyes (mW/kg)]]*10^3/Table4[[#This Row],[Input Power (mW)]]</f>
        <v>46.746540269088108</v>
      </c>
      <c r="H56" s="9">
        <f>Table4[[#This Row],[psSAR10g_skin (mW/kg)]]*10^3/Table4[[#This Row],[Input Power (mW)]]</f>
        <v>79.651323953119999</v>
      </c>
      <c r="I56" s="9">
        <f>Table4[[#This Row],[psSAR10g_brain (mW/kg)]]*10^3/Table4[[#This Row],[Input Power (mW)]]</f>
        <v>60.580405099592269</v>
      </c>
      <c r="J56" s="9">
        <f>Table4[[#This Row],[SAR_brain (mW/kg)]]*10^3/Table4[[#This Row],[Input Power (mW)]]</f>
        <v>0.6552066354573689</v>
      </c>
    </row>
    <row r="57" spans="1:10" ht="15.75" customHeight="1" thickBot="1" x14ac:dyDescent="0.4">
      <c r="A57" s="6">
        <v>5200</v>
      </c>
      <c r="B57" s="6" t="s">
        <v>16</v>
      </c>
      <c r="C57" s="6">
        <v>1</v>
      </c>
      <c r="D57" s="10">
        <f>Table4[[#This Row],[SAR_wholebody (mW/kg)]]*10^3/Table4[[#This Row],[Input Power (mW)]]</f>
        <v>1.7753637893903547</v>
      </c>
      <c r="E57" s="10">
        <f>Table4[[#This Row],[SAR_head (mW/kg)]]*10^3/Table4[[#This Row],[Input Power (mW)]]</f>
        <v>4.8084159226165468</v>
      </c>
      <c r="F57" s="10">
        <f>Table4[[#This Row],[SAR_trunk (mW/kg)]]*10^3/Table4[[#This Row],[Input Power (mW)]]</f>
        <v>1.702481700101802</v>
      </c>
      <c r="G57" s="10">
        <f>Table4[[#This Row],[psSAR10g_eyes (mW/kg)]]*10^3/Table4[[#This Row],[Input Power (mW)]]</f>
        <v>57.268892307536973</v>
      </c>
      <c r="H57" s="10">
        <f>Table4[[#This Row],[psSAR10g_skin (mW/kg)]]*10^3/Table4[[#This Row],[Input Power (mW)]]</f>
        <v>57.268892307536973</v>
      </c>
      <c r="I57" s="10">
        <f>Table4[[#This Row],[psSAR10g_brain (mW/kg)]]*10^3/Table4[[#This Row],[Input Power (mW)]]</f>
        <v>50.225148543150382</v>
      </c>
      <c r="J57" s="10">
        <f>Table4[[#This Row],[SAR_brain (mW/kg)]]*10^3/Table4[[#This Row],[Input Power (mW)]]</f>
        <v>0.46023853858850983</v>
      </c>
    </row>
    <row r="58" spans="1:10" ht="15.75" customHeight="1" x14ac:dyDescent="0.35">
      <c r="A58" s="3">
        <v>5800</v>
      </c>
      <c r="B58" s="3" t="s">
        <v>9</v>
      </c>
      <c r="C58" s="3">
        <v>1</v>
      </c>
      <c r="D58" s="7">
        <f>Table4[[#This Row],[SAR_wholebody (mW/kg)]]*10^3/Table4[[#This Row],[Input Power (mW)]]</f>
        <v>1.2132783740080111</v>
      </c>
      <c r="E58" s="7">
        <f>Table4[[#This Row],[SAR_head (mW/kg)]]*10^3/Table4[[#This Row],[Input Power (mW)]]</f>
        <v>4.3920860078022406</v>
      </c>
      <c r="F58" s="7">
        <f>Table4[[#This Row],[SAR_trunk (mW/kg)]]*10^3/Table4[[#This Row],[Input Power (mW)]]</f>
        <v>0.83742717182272775</v>
      </c>
      <c r="G58" s="7">
        <f>Table4[[#This Row],[psSAR10g_eyes (mW/kg)]]*10^3/Table4[[#This Row],[Input Power (mW)]]</f>
        <v>47.242814520517783</v>
      </c>
      <c r="H58" s="7">
        <f>Table4[[#This Row],[psSAR10g_skin (mW/kg)]]*10^3/Table4[[#This Row],[Input Power (mW)]]</f>
        <v>128.19322328922831</v>
      </c>
      <c r="I58" s="7">
        <f>Table4[[#This Row],[psSAR10g_brain (mW/kg)]]*10^3/Table4[[#This Row],[Input Power (mW)]]</f>
        <v>42.920602285385932</v>
      </c>
      <c r="J58" s="7">
        <f>Table4[[#This Row],[SAR_brain (mW/kg)]]*10^3/Table4[[#This Row],[Input Power (mW)]]</f>
        <v>0.30385901017996209</v>
      </c>
    </row>
    <row r="59" spans="1:10" ht="15.75" customHeight="1" x14ac:dyDescent="0.35">
      <c r="A59" s="4">
        <v>5800</v>
      </c>
      <c r="B59" s="4" t="s">
        <v>10</v>
      </c>
      <c r="C59" s="4">
        <v>1</v>
      </c>
      <c r="D59" s="8">
        <f>Table4[[#This Row],[SAR_wholebody (mW/kg)]]*10^3/Table4[[#This Row],[Input Power (mW)]]</f>
        <v>1.8533401768128517</v>
      </c>
      <c r="E59" s="8">
        <f>Table4[[#This Row],[SAR_head (mW/kg)]]*10^3/Table4[[#This Row],[Input Power (mW)]]</f>
        <v>6.0501774254123513</v>
      </c>
      <c r="F59" s="8">
        <f>Table4[[#This Row],[SAR_trunk (mW/kg)]]*10^3/Table4[[#This Row],[Input Power (mW)]]</f>
        <v>1.4079576945882128</v>
      </c>
      <c r="G59" s="8">
        <f>Table4[[#This Row],[psSAR10g_eyes (mW/kg)]]*10^3/Table4[[#This Row],[Input Power (mW)]]</f>
        <v>64.838997389772047</v>
      </c>
      <c r="H59" s="8">
        <f>Table4[[#This Row],[psSAR10g_skin (mW/kg)]]*10^3/Table4[[#This Row],[Input Power (mW)]]</f>
        <v>157.20833957789779</v>
      </c>
      <c r="I59" s="8">
        <f>Table4[[#This Row],[psSAR10g_brain (mW/kg)]]*10^3/Table4[[#This Row],[Input Power (mW)]]</f>
        <v>66.192358886090744</v>
      </c>
      <c r="J59" s="8">
        <f>Table4[[#This Row],[SAR_brain (mW/kg)]]*10^3/Table4[[#This Row],[Input Power (mW)]]</f>
        <v>0.35795481933699341</v>
      </c>
    </row>
    <row r="60" spans="1:10" ht="15.75" customHeight="1" x14ac:dyDescent="0.35">
      <c r="A60" s="5">
        <v>5800</v>
      </c>
      <c r="B60" s="5" t="s">
        <v>11</v>
      </c>
      <c r="C60" s="5">
        <v>1</v>
      </c>
      <c r="D60" s="9">
        <f>Table4[[#This Row],[SAR_wholebody (mW/kg)]]*10^3/Table4[[#This Row],[Input Power (mW)]]</f>
        <v>1.4577123262823093</v>
      </c>
      <c r="E60" s="9">
        <f>Table4[[#This Row],[SAR_head (mW/kg)]]*10^3/Table4[[#This Row],[Input Power (mW)]]</f>
        <v>5.2918865338307963</v>
      </c>
      <c r="F60" s="9">
        <f>Table4[[#This Row],[SAR_trunk (mW/kg)]]*10^3/Table4[[#This Row],[Input Power (mW)]]</f>
        <v>1.1271747204034908</v>
      </c>
      <c r="G60" s="9">
        <f>Table4[[#This Row],[psSAR10g_eyes (mW/kg)]]*10^3/Table4[[#This Row],[Input Power (mW)]]</f>
        <v>52.64976213691056</v>
      </c>
      <c r="H60" s="9">
        <f>Table4[[#This Row],[psSAR10g_skin (mW/kg)]]*10^3/Table4[[#This Row],[Input Power (mW)]]</f>
        <v>77.663677368850372</v>
      </c>
      <c r="I60" s="9">
        <f>Table4[[#This Row],[psSAR10g_brain (mW/kg)]]*10^3/Table4[[#This Row],[Input Power (mW)]]</f>
        <v>77.663677368850372</v>
      </c>
      <c r="J60" s="9">
        <f>Table4[[#This Row],[SAR_brain (mW/kg)]]*10^3/Table4[[#This Row],[Input Power (mW)]]</f>
        <v>0.41413288261429787</v>
      </c>
    </row>
    <row r="61" spans="1:10" ht="15.75" customHeight="1" x14ac:dyDescent="0.35">
      <c r="A61" s="4">
        <v>5800</v>
      </c>
      <c r="B61" s="4" t="s">
        <v>12</v>
      </c>
      <c r="C61" s="4">
        <v>1</v>
      </c>
      <c r="D61" s="8">
        <f>Table4[[#This Row],[SAR_wholebody (mW/kg)]]*10^3/Table4[[#This Row],[Input Power (mW)]]</f>
        <v>1.8597375107387779</v>
      </c>
      <c r="E61" s="8">
        <f>Table4[[#This Row],[SAR_head (mW/kg)]]*10^3/Table4[[#This Row],[Input Power (mW)]]</f>
        <v>6.2941713073376846</v>
      </c>
      <c r="F61" s="8">
        <f>Table4[[#This Row],[SAR_trunk (mW/kg)]]*10^3/Table4[[#This Row],[Input Power (mW)]]</f>
        <v>1.3628313253719815</v>
      </c>
      <c r="G61" s="8">
        <f>Table4[[#This Row],[psSAR10g_eyes (mW/kg)]]*10^3/Table4[[#This Row],[Input Power (mW)]]</f>
        <v>56.187252805129809</v>
      </c>
      <c r="H61" s="8">
        <f>Table4[[#This Row],[psSAR10g_skin (mW/kg)]]*10^3/Table4[[#This Row],[Input Power (mW)]]</f>
        <v>102.46618753684609</v>
      </c>
      <c r="I61" s="8">
        <f>Table4[[#This Row],[psSAR10g_brain (mW/kg)]]*10^3/Table4[[#This Row],[Input Power (mW)]]</f>
        <v>56.172028725103708</v>
      </c>
      <c r="J61" s="8">
        <f>Table4[[#This Row],[SAR_brain (mW/kg)]]*10^3/Table4[[#This Row],[Input Power (mW)]]</f>
        <v>0.24503640464098489</v>
      </c>
    </row>
    <row r="62" spans="1:10" ht="15.75" customHeight="1" x14ac:dyDescent="0.35">
      <c r="A62" s="5">
        <v>5800</v>
      </c>
      <c r="B62" s="5" t="s">
        <v>13</v>
      </c>
      <c r="C62" s="5">
        <v>1</v>
      </c>
      <c r="D62" s="9">
        <f>Table4[[#This Row],[SAR_wholebody (mW/kg)]]*10^3/Table4[[#This Row],[Input Power (mW)]]</f>
        <v>1.1926267809858999</v>
      </c>
      <c r="E62" s="9">
        <f>Table4[[#This Row],[SAR_head (mW/kg)]]*10^3/Table4[[#This Row],[Input Power (mW)]]</f>
        <v>4.056248472682185</v>
      </c>
      <c r="F62" s="9">
        <f>Table4[[#This Row],[SAR_trunk (mW/kg)]]*10^3/Table4[[#This Row],[Input Power (mW)]]</f>
        <v>0.85050495220758515</v>
      </c>
      <c r="G62" s="9">
        <f>Table4[[#This Row],[psSAR10g_eyes (mW/kg)]]*10^3/Table4[[#This Row],[Input Power (mW)]]</f>
        <v>37.087168678783705</v>
      </c>
      <c r="H62" s="9">
        <f>Table4[[#This Row],[psSAR10g_skin (mW/kg)]]*10^3/Table4[[#This Row],[Input Power (mW)]]</f>
        <v>122.28573915877425</v>
      </c>
      <c r="I62" s="9">
        <f>Table4[[#This Row],[psSAR10g_brain (mW/kg)]]*10^3/Table4[[#This Row],[Input Power (mW)]]</f>
        <v>40.610031536770187</v>
      </c>
      <c r="J62" s="9">
        <f>Table4[[#This Row],[SAR_brain (mW/kg)]]*10^3/Table4[[#This Row],[Input Power (mW)]]</f>
        <v>0.30421950878806631</v>
      </c>
    </row>
    <row r="63" spans="1:10" ht="15.75" customHeight="1" x14ac:dyDescent="0.35">
      <c r="A63" s="4">
        <v>5800</v>
      </c>
      <c r="B63" s="4" t="s">
        <v>14</v>
      </c>
      <c r="C63" s="4">
        <v>1</v>
      </c>
      <c r="D63" s="8">
        <f>Table4[[#This Row],[SAR_wholebody (mW/kg)]]*10^3/Table4[[#This Row],[Input Power (mW)]]</f>
        <v>1.7804669433899594</v>
      </c>
      <c r="E63" s="8">
        <f>Table4[[#This Row],[SAR_head (mW/kg)]]*10^3/Table4[[#This Row],[Input Power (mW)]]</f>
        <v>6.0556857866319449</v>
      </c>
      <c r="F63" s="8">
        <f>Table4[[#This Row],[SAR_trunk (mW/kg)]]*10^3/Table4[[#This Row],[Input Power (mW)]]</f>
        <v>1.3770920165294926</v>
      </c>
      <c r="G63" s="8">
        <f>Table4[[#This Row],[psSAR10g_eyes (mW/kg)]]*10^3/Table4[[#This Row],[Input Power (mW)]]</f>
        <v>60.780354957907591</v>
      </c>
      <c r="H63" s="8">
        <f>Table4[[#This Row],[psSAR10g_skin (mW/kg)]]*10^3/Table4[[#This Row],[Input Power (mW)]]</f>
        <v>160.42341715845703</v>
      </c>
      <c r="I63" s="8">
        <f>Table4[[#This Row],[psSAR10g_brain (mW/kg)]]*10^3/Table4[[#This Row],[Input Power (mW)]]</f>
        <v>66.127914596263523</v>
      </c>
      <c r="J63" s="8">
        <f>Table4[[#This Row],[SAR_brain (mW/kg)]]*10^3/Table4[[#This Row],[Input Power (mW)]]</f>
        <v>0.3337909187419496</v>
      </c>
    </row>
    <row r="64" spans="1:10" ht="15.75" customHeight="1" x14ac:dyDescent="0.35">
      <c r="A64" s="5">
        <v>5800</v>
      </c>
      <c r="B64" s="5" t="s">
        <v>15</v>
      </c>
      <c r="C64" s="5">
        <v>1</v>
      </c>
      <c r="D64" s="9">
        <f>Table4[[#This Row],[SAR_wholebody (mW/kg)]]*10^3/Table4[[#This Row],[Input Power (mW)]]</f>
        <v>1.2158203289788854</v>
      </c>
      <c r="E64" s="9">
        <f>Table4[[#This Row],[SAR_head (mW/kg)]]*10^3/Table4[[#This Row],[Input Power (mW)]]</f>
        <v>4.473020207120185</v>
      </c>
      <c r="F64" s="9">
        <f>Table4[[#This Row],[SAR_trunk (mW/kg)]]*10^3/Table4[[#This Row],[Input Power (mW)]]</f>
        <v>0.87496333562194628</v>
      </c>
      <c r="G64" s="9">
        <f>Table4[[#This Row],[psSAR10g_eyes (mW/kg)]]*10^3/Table4[[#This Row],[Input Power (mW)]]</f>
        <v>48.207226208049264</v>
      </c>
      <c r="H64" s="9">
        <f>Table4[[#This Row],[psSAR10g_skin (mW/kg)]]*10^3/Table4[[#This Row],[Input Power (mW)]]</f>
        <v>111.49482546681</v>
      </c>
      <c r="I64" s="9">
        <f>Table4[[#This Row],[psSAR10g_brain (mW/kg)]]*10^3/Table4[[#This Row],[Input Power (mW)]]</f>
        <v>45.192373635302964</v>
      </c>
      <c r="J64" s="9">
        <f>Table4[[#This Row],[SAR_brain (mW/kg)]]*10^3/Table4[[#This Row],[Input Power (mW)]]</f>
        <v>0.30252634350500063</v>
      </c>
    </row>
    <row r="65" spans="1:10" ht="15.75" customHeight="1" thickBot="1" x14ac:dyDescent="0.4">
      <c r="A65" s="6">
        <v>5800</v>
      </c>
      <c r="B65" s="6" t="s">
        <v>16</v>
      </c>
      <c r="C65" s="6">
        <v>1</v>
      </c>
      <c r="D65" s="10">
        <f>Table4[[#This Row],[SAR_wholebody (mW/kg)]]*10^3/Table4[[#This Row],[Input Power (mW)]]</f>
        <v>1.8520985448956666</v>
      </c>
      <c r="E65" s="10">
        <f>Table4[[#This Row],[SAR_head (mW/kg)]]*10^3/Table4[[#This Row],[Input Power (mW)]]</f>
        <v>6.2642300314300732</v>
      </c>
      <c r="F65" s="10">
        <f>Table4[[#This Row],[SAR_trunk (mW/kg)]]*10^3/Table4[[#This Row],[Input Power (mW)]]</f>
        <v>1.3027492763880539</v>
      </c>
      <c r="G65" s="10">
        <f>Table4[[#This Row],[psSAR10g_eyes (mW/kg)]]*10^3/Table4[[#This Row],[Input Power (mW)]]</f>
        <v>65.523696012509816</v>
      </c>
      <c r="H65" s="10">
        <f>Table4[[#This Row],[psSAR10g_skin (mW/kg)]]*10^3/Table4[[#This Row],[Input Power (mW)]]</f>
        <v>110.32474926846315</v>
      </c>
      <c r="I65" s="10">
        <f>Table4[[#This Row],[psSAR10g_brain (mW/kg)]]*10^3/Table4[[#This Row],[Input Power (mW)]]</f>
        <v>64.016414790625745</v>
      </c>
      <c r="J65" s="10">
        <f>Table4[[#This Row],[SAR_brain (mW/kg)]]*10^3/Table4[[#This Row],[Input Power (mW)]]</f>
        <v>0.38038372105818535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5"/>
  <sheetViews>
    <sheetView zoomScale="90" zoomScaleNormal="90" workbookViewId="0">
      <selection activeCell="J1" sqref="J1:J65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27.45312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18</v>
      </c>
      <c r="C2" s="3">
        <v>267</v>
      </c>
      <c r="D2" s="7">
        <v>1.00713798397768</v>
      </c>
      <c r="E2" s="7">
        <v>0.14598402940386301</v>
      </c>
      <c r="F2" s="7">
        <v>0.97150455300341299</v>
      </c>
      <c r="G2" s="7">
        <v>1.20332796100257</v>
      </c>
      <c r="H2" s="7">
        <v>10.9549950256563</v>
      </c>
      <c r="I2" s="7">
        <v>0.66561792854615498</v>
      </c>
      <c r="J2" s="7">
        <v>0.11515078072359999</v>
      </c>
    </row>
    <row r="3" spans="1:10" ht="15.75" customHeight="1" x14ac:dyDescent="0.35">
      <c r="A3" s="4">
        <v>700</v>
      </c>
      <c r="B3" s="4" t="s">
        <v>19</v>
      </c>
      <c r="C3" s="4">
        <v>267</v>
      </c>
      <c r="D3" s="8">
        <v>0.93468874667088298</v>
      </c>
      <c r="E3" s="8">
        <v>6.8456964432927606E-2</v>
      </c>
      <c r="F3" s="8">
        <v>0.46102063616639399</v>
      </c>
      <c r="G3" s="8">
        <v>0.50888088493461303</v>
      </c>
      <c r="H3" s="8">
        <v>14.3322107435087</v>
      </c>
      <c r="I3" s="8">
        <v>0.67568748652127597</v>
      </c>
      <c r="J3" s="8">
        <v>2.9146119707962229E-2</v>
      </c>
    </row>
    <row r="4" spans="1:10" ht="15.75" customHeight="1" x14ac:dyDescent="0.35">
      <c r="A4" s="5">
        <v>700</v>
      </c>
      <c r="B4" s="5" t="s">
        <v>20</v>
      </c>
      <c r="C4" s="5">
        <v>267</v>
      </c>
      <c r="D4" s="9">
        <v>0.301219754434913</v>
      </c>
      <c r="E4" s="9">
        <v>4.6324711709805899E-2</v>
      </c>
      <c r="F4" s="9">
        <v>0.22094376704708499</v>
      </c>
      <c r="G4" s="9">
        <v>0.27241537203633898</v>
      </c>
      <c r="H4" s="9">
        <v>5.6606298010594696</v>
      </c>
      <c r="I4" s="9">
        <v>0.16678353246980801</v>
      </c>
      <c r="J4" s="9">
        <v>3.3982864933790366E-2</v>
      </c>
    </row>
    <row r="5" spans="1:10" ht="15.75" customHeight="1" x14ac:dyDescent="0.35">
      <c r="A5" s="4">
        <v>700</v>
      </c>
      <c r="B5" s="4" t="s">
        <v>21</v>
      </c>
      <c r="C5" s="4">
        <v>267</v>
      </c>
      <c r="D5" s="8">
        <v>0.69491370111971895</v>
      </c>
      <c r="E5" s="8">
        <v>5.4704902922245897E-2</v>
      </c>
      <c r="F5" s="8">
        <v>0.37827839480945002</v>
      </c>
      <c r="G5" s="8">
        <v>0.43578357221661801</v>
      </c>
      <c r="H5" s="8">
        <v>11.8219579489617</v>
      </c>
      <c r="I5" s="8">
        <v>0.41517304837088997</v>
      </c>
      <c r="J5" s="8">
        <v>2.5831480998349261E-2</v>
      </c>
    </row>
    <row r="6" spans="1:10" ht="15.75" customHeight="1" x14ac:dyDescent="0.35">
      <c r="A6" s="5">
        <v>700</v>
      </c>
      <c r="B6" s="5" t="s">
        <v>22</v>
      </c>
      <c r="C6" s="5">
        <v>267</v>
      </c>
      <c r="D6" s="9">
        <v>1.0535914863432401</v>
      </c>
      <c r="E6" s="9">
        <v>0.15915960966013701</v>
      </c>
      <c r="F6" s="9">
        <v>1.0756902475591501</v>
      </c>
      <c r="G6" s="9">
        <v>1.59249285381196</v>
      </c>
      <c r="H6" s="9">
        <v>14.1997291844575</v>
      </c>
      <c r="I6" s="9">
        <v>0.64791933655405198</v>
      </c>
      <c r="J6" s="9">
        <v>0.1196032082151</v>
      </c>
    </row>
    <row r="7" spans="1:10" ht="15.75" customHeight="1" x14ac:dyDescent="0.35">
      <c r="A7" s="4">
        <v>700</v>
      </c>
      <c r="B7" s="4" t="s">
        <v>23</v>
      </c>
      <c r="C7" s="4">
        <v>267</v>
      </c>
      <c r="D7" s="8">
        <v>0.72097912311087398</v>
      </c>
      <c r="E7" s="8">
        <v>5.0066803600349402E-2</v>
      </c>
      <c r="F7" s="8">
        <v>0.33453856805932602</v>
      </c>
      <c r="G7" s="8">
        <v>0.30095498807901799</v>
      </c>
      <c r="H7" s="8">
        <v>15.548955696869299</v>
      </c>
      <c r="I7" s="8">
        <v>0.22504542506412201</v>
      </c>
      <c r="J7" s="8">
        <v>3.3980471381731922E-2</v>
      </c>
    </row>
    <row r="8" spans="1:10" ht="15.75" customHeight="1" x14ac:dyDescent="0.35">
      <c r="A8" s="5">
        <v>700</v>
      </c>
      <c r="B8" s="5" t="s">
        <v>24</v>
      </c>
      <c r="C8" s="5">
        <v>267</v>
      </c>
      <c r="D8" s="9">
        <v>1.02350550157592</v>
      </c>
      <c r="E8" s="9">
        <v>0.33786832248836801</v>
      </c>
      <c r="F8" s="9">
        <v>1.57625531922856</v>
      </c>
      <c r="G8" s="9">
        <v>3.3418649173693198</v>
      </c>
      <c r="H8" s="9">
        <v>12.870716204590501</v>
      </c>
      <c r="I8" s="9">
        <v>1.76807960825986</v>
      </c>
      <c r="J8" s="9">
        <v>0.2675307367061</v>
      </c>
    </row>
    <row r="9" spans="1:10" ht="15.75" customHeight="1" thickBot="1" x14ac:dyDescent="0.4">
      <c r="A9" s="6">
        <v>700</v>
      </c>
      <c r="B9" s="6" t="s">
        <v>25</v>
      </c>
      <c r="C9" s="6">
        <v>267</v>
      </c>
      <c r="D9" s="10">
        <v>0.90310072854633905</v>
      </c>
      <c r="E9" s="10">
        <v>0.16549944179162501</v>
      </c>
      <c r="F9" s="10">
        <v>1.0494484317430199</v>
      </c>
      <c r="G9" s="10">
        <v>1.12770941732935</v>
      </c>
      <c r="H9" s="10">
        <v>15.812107563119801</v>
      </c>
      <c r="I9" s="10">
        <v>0.67784884660911904</v>
      </c>
      <c r="J9" s="10">
        <v>7.5364608695160443E-2</v>
      </c>
    </row>
    <row r="10" spans="1:10" ht="15.75" customHeight="1" x14ac:dyDescent="0.35">
      <c r="A10" s="3">
        <v>835</v>
      </c>
      <c r="B10" s="3" t="s">
        <v>18</v>
      </c>
      <c r="C10" s="3">
        <v>228</v>
      </c>
      <c r="D10" s="7">
        <v>0.72107994350745097</v>
      </c>
      <c r="E10" s="7">
        <v>0.13300256062108301</v>
      </c>
      <c r="F10" s="7">
        <v>0.65919266163741497</v>
      </c>
      <c r="G10" s="7">
        <v>0.65125065053200204</v>
      </c>
      <c r="H10" s="7">
        <v>11.3164845465953</v>
      </c>
      <c r="I10" s="7">
        <v>0.50029903473856996</v>
      </c>
      <c r="J10" s="7">
        <v>0.1061050584747</v>
      </c>
    </row>
    <row r="11" spans="1:10" ht="15.75" customHeight="1" x14ac:dyDescent="0.35">
      <c r="A11" s="4">
        <v>835</v>
      </c>
      <c r="B11" s="4" t="s">
        <v>19</v>
      </c>
      <c r="C11" s="4">
        <v>228</v>
      </c>
      <c r="D11" s="8">
        <v>0.676414799788156</v>
      </c>
      <c r="E11" s="8">
        <v>0.11068955603335801</v>
      </c>
      <c r="F11" s="8">
        <v>0.421698354259601</v>
      </c>
      <c r="G11" s="8">
        <v>0.90862039741964995</v>
      </c>
      <c r="H11" s="8">
        <v>5.2987215620448298</v>
      </c>
      <c r="I11" s="8">
        <v>0.45573543532571897</v>
      </c>
      <c r="J11" s="8">
        <v>6.3263935473930444E-2</v>
      </c>
    </row>
    <row r="12" spans="1:10" ht="15.75" customHeight="1" x14ac:dyDescent="0.35">
      <c r="A12" s="5">
        <v>835</v>
      </c>
      <c r="B12" s="5" t="s">
        <v>20</v>
      </c>
      <c r="C12" s="5">
        <v>228</v>
      </c>
      <c r="D12" s="9">
        <v>0.207237396185389</v>
      </c>
      <c r="E12" s="9">
        <v>5.2769468809159302E-2</v>
      </c>
      <c r="F12" s="9">
        <v>0.16595312272874699</v>
      </c>
      <c r="G12" s="9">
        <v>0.167467270290871</v>
      </c>
      <c r="H12" s="9">
        <v>4.61908608676349</v>
      </c>
      <c r="I12" s="9">
        <v>0.26072538198114398</v>
      </c>
      <c r="J12" s="9">
        <v>3.89246033894202E-2</v>
      </c>
    </row>
    <row r="13" spans="1:10" ht="15.75" customHeight="1" x14ac:dyDescent="0.35">
      <c r="A13" s="4">
        <v>835</v>
      </c>
      <c r="B13" s="4" t="s">
        <v>21</v>
      </c>
      <c r="C13" s="4">
        <v>228</v>
      </c>
      <c r="D13" s="8">
        <v>0.52773469263819195</v>
      </c>
      <c r="E13" s="8">
        <v>0.109270280383593</v>
      </c>
      <c r="F13" s="8">
        <v>0.319553825957343</v>
      </c>
      <c r="G13" s="8">
        <v>0.54273312135422003</v>
      </c>
      <c r="H13" s="8">
        <v>11.0649997946479</v>
      </c>
      <c r="I13" s="8">
        <v>0.47467054397432801</v>
      </c>
      <c r="J13" s="8">
        <v>7.4859774718033442E-2</v>
      </c>
    </row>
    <row r="14" spans="1:10" ht="15.75" customHeight="1" x14ac:dyDescent="0.35">
      <c r="A14" s="5">
        <v>835</v>
      </c>
      <c r="B14" s="5" t="s">
        <v>22</v>
      </c>
      <c r="C14" s="5">
        <v>228</v>
      </c>
      <c r="D14" s="9">
        <v>0.70845036511591797</v>
      </c>
      <c r="E14" s="9">
        <v>0.161525454947306</v>
      </c>
      <c r="F14" s="9">
        <v>0.81348023978679496</v>
      </c>
      <c r="G14" s="9">
        <v>1.1154868066488</v>
      </c>
      <c r="H14" s="9">
        <v>4.45703294571046</v>
      </c>
      <c r="I14" s="9">
        <v>0.691790242242454</v>
      </c>
      <c r="J14" s="9">
        <v>0.12323484149609999</v>
      </c>
    </row>
    <row r="15" spans="1:10" ht="15.75" customHeight="1" x14ac:dyDescent="0.35">
      <c r="A15" s="4">
        <v>835</v>
      </c>
      <c r="B15" s="4" t="s">
        <v>23</v>
      </c>
      <c r="C15" s="4">
        <v>228</v>
      </c>
      <c r="D15" s="8">
        <v>0.50664491091110897</v>
      </c>
      <c r="E15" s="8">
        <v>0.101832534885812</v>
      </c>
      <c r="F15" s="8">
        <v>0.30665707322455299</v>
      </c>
      <c r="G15" s="8">
        <v>0.82036595321168904</v>
      </c>
      <c r="H15" s="8">
        <v>9.0259260842671392</v>
      </c>
      <c r="I15" s="8">
        <v>0.38111715047325601</v>
      </c>
      <c r="J15" s="8">
        <v>6.6359038459670602E-2</v>
      </c>
    </row>
    <row r="16" spans="1:10" ht="15.75" customHeight="1" x14ac:dyDescent="0.35">
      <c r="A16" s="5">
        <v>835</v>
      </c>
      <c r="B16" s="5" t="s">
        <v>24</v>
      </c>
      <c r="C16" s="5">
        <v>228</v>
      </c>
      <c r="D16" s="9">
        <v>0.70595992055494095</v>
      </c>
      <c r="E16" s="9">
        <v>0.22942596283161201</v>
      </c>
      <c r="F16" s="9">
        <v>1.05758477646107</v>
      </c>
      <c r="G16" s="9">
        <v>1.16824812524872</v>
      </c>
      <c r="H16" s="9">
        <v>10.4060686737133</v>
      </c>
      <c r="I16" s="9">
        <v>0.82256717300365101</v>
      </c>
      <c r="J16" s="9">
        <v>0.2110499108578</v>
      </c>
    </row>
    <row r="17" spans="1:10" ht="15.75" customHeight="1" thickBot="1" x14ac:dyDescent="0.4">
      <c r="A17" s="6">
        <v>835</v>
      </c>
      <c r="B17" s="6" t="s">
        <v>25</v>
      </c>
      <c r="C17" s="6">
        <v>228</v>
      </c>
      <c r="D17" s="10">
        <v>0.63469248783963905</v>
      </c>
      <c r="E17" s="10">
        <v>0.20111906801490301</v>
      </c>
      <c r="F17" s="10">
        <v>0.72298423234991704</v>
      </c>
      <c r="G17" s="10">
        <v>0.92939543847810702</v>
      </c>
      <c r="H17" s="10">
        <v>5.7675030209409002</v>
      </c>
      <c r="I17" s="10">
        <v>0.75587328706484103</v>
      </c>
      <c r="J17" s="10">
        <v>0.13457930770019999</v>
      </c>
    </row>
    <row r="18" spans="1:10" ht="15.75" customHeight="1" x14ac:dyDescent="0.35">
      <c r="A18" s="3">
        <v>1450</v>
      </c>
      <c r="B18" s="3" t="s">
        <v>18</v>
      </c>
      <c r="C18" s="3">
        <v>106</v>
      </c>
      <c r="D18" s="7">
        <v>0.31288232045312298</v>
      </c>
      <c r="E18" s="7">
        <v>8.3322336078129902E-2</v>
      </c>
      <c r="F18" s="7">
        <v>0.40581847837528201</v>
      </c>
      <c r="G18" s="7">
        <v>0.66206426005179897</v>
      </c>
      <c r="H18" s="7">
        <v>5.9205281448681104</v>
      </c>
      <c r="I18" s="7">
        <v>0.35791433189948602</v>
      </c>
      <c r="J18" s="7">
        <v>6.2810780569780011E-2</v>
      </c>
    </row>
    <row r="19" spans="1:10" ht="15.75" customHeight="1" x14ac:dyDescent="0.35">
      <c r="A19" s="4">
        <v>1450</v>
      </c>
      <c r="B19" s="4" t="s">
        <v>19</v>
      </c>
      <c r="C19" s="4">
        <v>106</v>
      </c>
      <c r="D19" s="8">
        <v>0.39692146014882901</v>
      </c>
      <c r="E19" s="8">
        <v>9.8420182139678E-2</v>
      </c>
      <c r="F19" s="8">
        <v>0.48379241558407898</v>
      </c>
      <c r="G19" s="8">
        <v>0.77843598580198403</v>
      </c>
      <c r="H19" s="8">
        <v>5.2855255106609498</v>
      </c>
      <c r="I19" s="8">
        <v>0.39876292043091499</v>
      </c>
      <c r="J19" s="8">
        <v>6.4618860336676354E-2</v>
      </c>
    </row>
    <row r="20" spans="1:10" ht="15.75" customHeight="1" x14ac:dyDescent="0.35">
      <c r="A20" s="5">
        <v>1450</v>
      </c>
      <c r="B20" s="5" t="s">
        <v>20</v>
      </c>
      <c r="C20" s="5">
        <v>106</v>
      </c>
      <c r="D20" s="9">
        <v>0.23854128981123299</v>
      </c>
      <c r="E20" s="9">
        <v>8.0001774423341096E-2</v>
      </c>
      <c r="F20" s="9">
        <v>0.28937045869105099</v>
      </c>
      <c r="G20" s="9">
        <v>0.73294835606722897</v>
      </c>
      <c r="H20" s="9">
        <v>3.2070305747297501</v>
      </c>
      <c r="I20" s="9">
        <v>0.381543192922293</v>
      </c>
      <c r="J20" s="9">
        <v>6.266525554234019E-2</v>
      </c>
    </row>
    <row r="21" spans="1:10" ht="15.75" customHeight="1" x14ac:dyDescent="0.35">
      <c r="A21" s="4">
        <v>1450</v>
      </c>
      <c r="B21" s="4" t="s">
        <v>21</v>
      </c>
      <c r="C21" s="4">
        <v>106</v>
      </c>
      <c r="D21" s="8">
        <v>0.29328674444187303</v>
      </c>
      <c r="E21" s="8">
        <v>7.3840110180911495E-2</v>
      </c>
      <c r="F21" s="8">
        <v>0.38665582536219101</v>
      </c>
      <c r="G21" s="8">
        <v>0.67292524802114695</v>
      </c>
      <c r="H21" s="8">
        <v>3.7715621445006802</v>
      </c>
      <c r="I21" s="8">
        <v>0.348738547477497</v>
      </c>
      <c r="J21" s="8">
        <v>5.5585752866318394E-2</v>
      </c>
    </row>
    <row r="22" spans="1:10" ht="15.75" customHeight="1" x14ac:dyDescent="0.35">
      <c r="A22" s="5">
        <v>1450</v>
      </c>
      <c r="B22" s="5" t="s">
        <v>22</v>
      </c>
      <c r="C22" s="5">
        <v>106</v>
      </c>
      <c r="D22" s="9">
        <v>0.31224840959455102</v>
      </c>
      <c r="E22" s="9">
        <v>0.11901295794378799</v>
      </c>
      <c r="F22" s="9">
        <v>0.44176198781700199</v>
      </c>
      <c r="G22" s="9">
        <v>0.94402614886424097</v>
      </c>
      <c r="H22" s="9">
        <v>5.0037272431164599</v>
      </c>
      <c r="I22" s="9">
        <v>0.53252272755056795</v>
      </c>
      <c r="J22" s="9">
        <v>8.365919828748454E-2</v>
      </c>
    </row>
    <row r="23" spans="1:10" ht="15.75" customHeight="1" x14ac:dyDescent="0.35">
      <c r="A23" s="4">
        <v>1450</v>
      </c>
      <c r="B23" s="4" t="s">
        <v>23</v>
      </c>
      <c r="C23" s="4">
        <v>106</v>
      </c>
      <c r="D23" s="8">
        <v>0.36387107473414199</v>
      </c>
      <c r="E23" s="8">
        <v>9.6368957025992796E-2</v>
      </c>
      <c r="F23" s="8">
        <v>0.45420323289277498</v>
      </c>
      <c r="G23" s="8">
        <v>1.00967703863942</v>
      </c>
      <c r="H23" s="8">
        <v>4.6056904196678401</v>
      </c>
      <c r="I23" s="8">
        <v>0.49567862129263301</v>
      </c>
      <c r="J23" s="8">
        <v>6.2950350217070891E-2</v>
      </c>
    </row>
    <row r="24" spans="1:10" ht="15.75" customHeight="1" x14ac:dyDescent="0.35">
      <c r="A24" s="5">
        <v>1450</v>
      </c>
      <c r="B24" s="5" t="s">
        <v>24</v>
      </c>
      <c r="C24" s="5">
        <v>106</v>
      </c>
      <c r="D24" s="9">
        <v>0.28449832838172801</v>
      </c>
      <c r="E24" s="9">
        <v>0.14216221040729499</v>
      </c>
      <c r="F24" s="9">
        <v>0.41396634531978899</v>
      </c>
      <c r="G24" s="9">
        <v>1.04803482639875</v>
      </c>
      <c r="H24" s="9">
        <v>3.9180904770475098</v>
      </c>
      <c r="I24" s="9">
        <v>0.56016951968578399</v>
      </c>
      <c r="J24" s="9">
        <v>0.1123441284114</v>
      </c>
    </row>
    <row r="25" spans="1:10" ht="15.75" customHeight="1" thickBot="1" x14ac:dyDescent="0.4">
      <c r="A25" s="6">
        <v>1450</v>
      </c>
      <c r="B25" s="6" t="s">
        <v>25</v>
      </c>
      <c r="C25" s="6">
        <v>106</v>
      </c>
      <c r="D25" s="10">
        <v>0.369258453321823</v>
      </c>
      <c r="E25" s="10">
        <v>0.20114548680916899</v>
      </c>
      <c r="F25" s="10">
        <v>0.52766142110159797</v>
      </c>
      <c r="G25" s="10">
        <v>1.3597794236159699</v>
      </c>
      <c r="H25" s="10">
        <v>3.9212200914450901</v>
      </c>
      <c r="I25" s="10">
        <v>0.72103175455250601</v>
      </c>
      <c r="J25" s="10">
        <v>0.13540873075660001</v>
      </c>
    </row>
    <row r="26" spans="1:10" ht="15.75" customHeight="1" x14ac:dyDescent="0.35">
      <c r="A26" s="3">
        <v>2140</v>
      </c>
      <c r="B26" s="3" t="s">
        <v>18</v>
      </c>
      <c r="C26" s="3">
        <v>78</v>
      </c>
      <c r="D26" s="7">
        <v>0.283337028023602</v>
      </c>
      <c r="E26" s="7">
        <v>7.4561989044332602E-2</v>
      </c>
      <c r="F26" s="7">
        <v>0.32535493601267301</v>
      </c>
      <c r="G26" s="7">
        <v>0.46255284124852802</v>
      </c>
      <c r="H26" s="7">
        <v>5.9234273641318103</v>
      </c>
      <c r="I26" s="7">
        <v>0.27490880580627602</v>
      </c>
      <c r="J26" s="7">
        <v>3.2354733713632254E-2</v>
      </c>
    </row>
    <row r="27" spans="1:10" ht="15.75" customHeight="1" x14ac:dyDescent="0.35">
      <c r="A27" s="4">
        <v>2140</v>
      </c>
      <c r="B27" s="4" t="s">
        <v>19</v>
      </c>
      <c r="C27" s="4">
        <v>78</v>
      </c>
      <c r="D27" s="8">
        <v>0.35230235593778902</v>
      </c>
      <c r="E27" s="8">
        <v>0.126025896258495</v>
      </c>
      <c r="F27" s="8">
        <v>0.368309482026556</v>
      </c>
      <c r="G27" s="8">
        <v>0.98815665187719803</v>
      </c>
      <c r="H27" s="8">
        <v>4.7543567280334704</v>
      </c>
      <c r="I27" s="8">
        <v>0.67025872229098304</v>
      </c>
      <c r="J27" s="8">
        <v>6.7760311111109431E-2</v>
      </c>
    </row>
    <row r="28" spans="1:10" ht="15.75" customHeight="1" x14ac:dyDescent="0.35">
      <c r="A28" s="5">
        <v>2140</v>
      </c>
      <c r="B28" s="5" t="s">
        <v>20</v>
      </c>
      <c r="C28" s="5">
        <v>78</v>
      </c>
      <c r="D28" s="9">
        <v>0.248384223113127</v>
      </c>
      <c r="E28" s="9">
        <v>5.8145480835112603E-2</v>
      </c>
      <c r="F28" s="9">
        <v>0.25404021075983302</v>
      </c>
      <c r="G28" s="9">
        <v>0.442105623609724</v>
      </c>
      <c r="H28" s="9">
        <v>6.5213295009377203</v>
      </c>
      <c r="I28" s="9">
        <v>0.27340252470167098</v>
      </c>
      <c r="J28" s="9">
        <v>2.5172019821380728E-2</v>
      </c>
    </row>
    <row r="29" spans="1:10" ht="15.75" customHeight="1" x14ac:dyDescent="0.35">
      <c r="A29" s="4">
        <v>2140</v>
      </c>
      <c r="B29" s="4" t="s">
        <v>21</v>
      </c>
      <c r="C29" s="4">
        <v>78</v>
      </c>
      <c r="D29" s="8">
        <v>0.33075233654396802</v>
      </c>
      <c r="E29" s="8">
        <v>8.5546485859503807E-2</v>
      </c>
      <c r="F29" s="8">
        <v>0.33394391469680001</v>
      </c>
      <c r="G29" s="8">
        <v>1.01280935407373</v>
      </c>
      <c r="H29" s="8">
        <v>5.5365989982450703</v>
      </c>
      <c r="I29" s="8">
        <v>0.72068282468676903</v>
      </c>
      <c r="J29" s="8">
        <v>5.4718957233059216E-2</v>
      </c>
    </row>
    <row r="30" spans="1:10" ht="15.75" customHeight="1" x14ac:dyDescent="0.35">
      <c r="A30" s="5">
        <v>2140</v>
      </c>
      <c r="B30" s="5" t="s">
        <v>22</v>
      </c>
      <c r="C30" s="5">
        <v>78</v>
      </c>
      <c r="D30" s="9">
        <v>0.29921067637329302</v>
      </c>
      <c r="E30" s="9">
        <v>6.7321389120401198E-2</v>
      </c>
      <c r="F30" s="9">
        <v>0.34946128845209701</v>
      </c>
      <c r="G30" s="9">
        <v>0.25380594733515</v>
      </c>
      <c r="H30" s="9">
        <v>6.8864852369409499</v>
      </c>
      <c r="I30" s="9">
        <v>0.20385039790450399</v>
      </c>
      <c r="J30" s="9">
        <v>2.3070849659560945E-2</v>
      </c>
    </row>
    <row r="31" spans="1:10" ht="15.75" customHeight="1" x14ac:dyDescent="0.35">
      <c r="A31" s="4">
        <v>2140</v>
      </c>
      <c r="B31" s="4" t="s">
        <v>23</v>
      </c>
      <c r="C31" s="4">
        <v>78</v>
      </c>
      <c r="D31" s="8">
        <v>0.29204181290890602</v>
      </c>
      <c r="E31" s="8">
        <v>9.4427552638642401E-2</v>
      </c>
      <c r="F31" s="8">
        <v>0.304990137752011</v>
      </c>
      <c r="G31" s="8">
        <v>0.84504737208143699</v>
      </c>
      <c r="H31" s="8">
        <v>5.6348053650742598</v>
      </c>
      <c r="I31" s="8">
        <v>0.529887204213638</v>
      </c>
      <c r="J31" s="8">
        <v>5.094986837106865E-2</v>
      </c>
    </row>
    <row r="32" spans="1:10" ht="15.75" customHeight="1" x14ac:dyDescent="0.35">
      <c r="A32" s="5">
        <v>2140</v>
      </c>
      <c r="B32" s="5" t="s">
        <v>24</v>
      </c>
      <c r="C32" s="5">
        <v>78</v>
      </c>
      <c r="D32" s="9">
        <v>0.276335820549099</v>
      </c>
      <c r="E32" s="9">
        <v>8.2546154138472605E-2</v>
      </c>
      <c r="F32" s="9">
        <v>0.33290242612888099</v>
      </c>
      <c r="G32" s="9">
        <v>0.63514415179219796</v>
      </c>
      <c r="H32" s="9">
        <v>5.8167490501690704</v>
      </c>
      <c r="I32" s="9">
        <v>0.40238511002039901</v>
      </c>
      <c r="J32" s="9">
        <v>4.70539426192641E-2</v>
      </c>
    </row>
    <row r="33" spans="1:10" ht="15.75" customHeight="1" thickBot="1" x14ac:dyDescent="0.4">
      <c r="A33" s="6">
        <v>2140</v>
      </c>
      <c r="B33" s="6" t="s">
        <v>25</v>
      </c>
      <c r="C33" s="6">
        <v>78</v>
      </c>
      <c r="D33" s="10">
        <v>0.35421125674923298</v>
      </c>
      <c r="E33" s="10">
        <v>0.189668940645107</v>
      </c>
      <c r="F33" s="10">
        <v>0.44880969790013697</v>
      </c>
      <c r="G33" s="10">
        <v>1.29647837159795</v>
      </c>
      <c r="H33" s="10">
        <v>5.3169217330826699</v>
      </c>
      <c r="I33" s="10">
        <v>0.90255297271047596</v>
      </c>
      <c r="J33" s="10">
        <v>0.10411699909710001</v>
      </c>
    </row>
    <row r="34" spans="1:10" ht="15.75" customHeight="1" x14ac:dyDescent="0.35">
      <c r="A34" s="3">
        <v>2450</v>
      </c>
      <c r="B34" s="3" t="s">
        <v>18</v>
      </c>
      <c r="C34" s="3">
        <v>74</v>
      </c>
      <c r="D34" s="7">
        <v>0.27201145967599699</v>
      </c>
      <c r="E34" s="7">
        <v>6.0763213087964597E-2</v>
      </c>
      <c r="F34" s="7">
        <v>0.29061081716061099</v>
      </c>
      <c r="G34" s="7">
        <v>0.452128666958731</v>
      </c>
      <c r="H34" s="7">
        <v>5.2797084036987698</v>
      </c>
      <c r="I34" s="7">
        <v>0.27334595381187898</v>
      </c>
      <c r="J34" s="7">
        <v>2.7395260211151039E-2</v>
      </c>
    </row>
    <row r="35" spans="1:10" ht="15.75" customHeight="1" x14ac:dyDescent="0.35">
      <c r="A35" s="4">
        <v>2450</v>
      </c>
      <c r="B35" s="4" t="s">
        <v>19</v>
      </c>
      <c r="C35" s="4">
        <v>74</v>
      </c>
      <c r="D35" s="8">
        <v>0.36566391192902598</v>
      </c>
      <c r="E35" s="8">
        <v>8.6078754852861594E-2</v>
      </c>
      <c r="F35" s="8">
        <v>0.39569507239096002</v>
      </c>
      <c r="G35" s="8">
        <v>0.79603261665826497</v>
      </c>
      <c r="H35" s="8">
        <v>5.1624646666510197</v>
      </c>
      <c r="I35" s="8">
        <v>0.52283674691113802</v>
      </c>
      <c r="J35" s="8">
        <v>4.016168873119591E-2</v>
      </c>
    </row>
    <row r="36" spans="1:10" ht="15.75" customHeight="1" x14ac:dyDescent="0.35">
      <c r="A36" s="5">
        <v>2450</v>
      </c>
      <c r="B36" s="5" t="s">
        <v>20</v>
      </c>
      <c r="C36" s="5">
        <v>74</v>
      </c>
      <c r="D36" s="9">
        <v>0.21849338965161599</v>
      </c>
      <c r="E36" s="9">
        <v>5.5133281859740597E-2</v>
      </c>
      <c r="F36" s="9">
        <v>0.229909831818944</v>
      </c>
      <c r="G36" s="9">
        <v>0.469471529717638</v>
      </c>
      <c r="H36" s="9">
        <v>5.4207589339774902</v>
      </c>
      <c r="I36" s="9">
        <v>0.34691122669116697</v>
      </c>
      <c r="J36" s="9">
        <v>2.6100564164835333E-2</v>
      </c>
    </row>
    <row r="37" spans="1:10" ht="15.75" customHeight="1" x14ac:dyDescent="0.35">
      <c r="A37" s="4">
        <v>2450</v>
      </c>
      <c r="B37" s="4" t="s">
        <v>21</v>
      </c>
      <c r="C37" s="4">
        <v>74</v>
      </c>
      <c r="D37" s="8">
        <v>0.30269142197994298</v>
      </c>
      <c r="E37" s="8">
        <v>6.2141560199036001E-2</v>
      </c>
      <c r="F37" s="8">
        <v>0.31446866729969603</v>
      </c>
      <c r="G37" s="8">
        <v>0.69244055245604796</v>
      </c>
      <c r="H37" s="8">
        <v>6.46017628011829</v>
      </c>
      <c r="I37" s="8">
        <v>0.51788516820936203</v>
      </c>
      <c r="J37" s="8">
        <v>3.1993570621501918E-2</v>
      </c>
    </row>
    <row r="38" spans="1:10" ht="15.75" customHeight="1" x14ac:dyDescent="0.35">
      <c r="A38" s="5">
        <v>2450</v>
      </c>
      <c r="B38" s="5" t="s">
        <v>22</v>
      </c>
      <c r="C38" s="5">
        <v>74</v>
      </c>
      <c r="D38" s="9">
        <v>0.24929665274896301</v>
      </c>
      <c r="E38" s="9">
        <v>5.0691472487195598E-2</v>
      </c>
      <c r="F38" s="9">
        <v>0.27408027119460598</v>
      </c>
      <c r="G38" s="9">
        <v>0.29594439750764101</v>
      </c>
      <c r="H38" s="9">
        <v>4.8154280628694597</v>
      </c>
      <c r="I38" s="9">
        <v>0.25113094151430498</v>
      </c>
      <c r="J38" s="9">
        <v>1.9175723070216571E-2</v>
      </c>
    </row>
    <row r="39" spans="1:10" ht="15.75" customHeight="1" x14ac:dyDescent="0.35">
      <c r="A39" s="4">
        <v>2450</v>
      </c>
      <c r="B39" s="4" t="s">
        <v>23</v>
      </c>
      <c r="C39" s="4">
        <v>74</v>
      </c>
      <c r="D39" s="8">
        <v>0.28577423970751697</v>
      </c>
      <c r="E39" s="8">
        <v>8.8137514550170395E-2</v>
      </c>
      <c r="F39" s="8">
        <v>0.29097376048886398</v>
      </c>
      <c r="G39" s="8">
        <v>0.71407859975533206</v>
      </c>
      <c r="H39" s="8">
        <v>5.4540102711502403</v>
      </c>
      <c r="I39" s="8">
        <v>0.46863668726041302</v>
      </c>
      <c r="J39" s="8">
        <v>3.788452958582559E-2</v>
      </c>
    </row>
    <row r="40" spans="1:10" ht="15.75" customHeight="1" x14ac:dyDescent="0.35">
      <c r="A40" s="5">
        <v>2450</v>
      </c>
      <c r="B40" s="5" t="s">
        <v>24</v>
      </c>
      <c r="C40" s="5">
        <v>74</v>
      </c>
      <c r="D40" s="9">
        <v>0.27746173577586403</v>
      </c>
      <c r="E40" s="9">
        <v>7.8103807134206504E-2</v>
      </c>
      <c r="F40" s="9">
        <v>0.33680591098779</v>
      </c>
      <c r="G40" s="9">
        <v>0.59294098464397604</v>
      </c>
      <c r="H40" s="9">
        <v>6.1030522947554102</v>
      </c>
      <c r="I40" s="9">
        <v>0.36467217196510399</v>
      </c>
      <c r="J40" s="9">
        <v>3.74045212861095E-2</v>
      </c>
    </row>
    <row r="41" spans="1:10" ht="15.75" customHeight="1" thickBot="1" x14ac:dyDescent="0.4">
      <c r="A41" s="6">
        <v>2450</v>
      </c>
      <c r="B41" s="6" t="s">
        <v>25</v>
      </c>
      <c r="C41" s="6">
        <v>74</v>
      </c>
      <c r="D41" s="10">
        <v>0.367329570687149</v>
      </c>
      <c r="E41" s="10">
        <v>0.15461893139303101</v>
      </c>
      <c r="F41" s="10">
        <v>0.44273696027492199</v>
      </c>
      <c r="G41" s="10">
        <v>1.06218348074156</v>
      </c>
      <c r="H41" s="10">
        <v>5.3495396572499203</v>
      </c>
      <c r="I41" s="10">
        <v>0.95259502248914896</v>
      </c>
      <c r="J41" s="10">
        <v>6.2162473882198151E-2</v>
      </c>
    </row>
    <row r="42" spans="1:10" ht="15.75" customHeight="1" x14ac:dyDescent="0.35">
      <c r="A42" s="3">
        <v>3500</v>
      </c>
      <c r="B42" s="3" t="s">
        <v>18</v>
      </c>
      <c r="C42" s="3">
        <v>55</v>
      </c>
      <c r="D42" s="7">
        <v>0.14393383374780799</v>
      </c>
      <c r="E42" s="7">
        <v>3.6435773142378003E-2</v>
      </c>
      <c r="F42" s="7">
        <v>0.14560239416072501</v>
      </c>
      <c r="G42" s="7">
        <v>0.24054658369964499</v>
      </c>
      <c r="H42" s="7">
        <v>4.0519260194510096</v>
      </c>
      <c r="I42" s="7">
        <v>0.139239740648194</v>
      </c>
      <c r="J42" s="7">
        <v>5.9948373336286042E-3</v>
      </c>
    </row>
    <row r="43" spans="1:10" ht="15.75" customHeight="1" x14ac:dyDescent="0.35">
      <c r="A43" s="4">
        <v>3500</v>
      </c>
      <c r="B43" s="4" t="s">
        <v>19</v>
      </c>
      <c r="C43" s="4">
        <v>55</v>
      </c>
      <c r="D43" s="8">
        <v>0.18966840169676799</v>
      </c>
      <c r="E43" s="8">
        <v>4.3467604573033197E-2</v>
      </c>
      <c r="F43" s="8">
        <v>0.15675283494860101</v>
      </c>
      <c r="G43" s="8">
        <v>0.28492796047609698</v>
      </c>
      <c r="H43" s="8">
        <v>3.5480147539453699</v>
      </c>
      <c r="I43" s="8">
        <v>0.14327848603235399</v>
      </c>
      <c r="J43" s="8">
        <v>6.0187127155292581E-3</v>
      </c>
    </row>
    <row r="44" spans="1:10" ht="15.75" customHeight="1" x14ac:dyDescent="0.35">
      <c r="A44" s="5">
        <v>3500</v>
      </c>
      <c r="B44" s="5" t="s">
        <v>20</v>
      </c>
      <c r="C44" s="5">
        <v>55</v>
      </c>
      <c r="D44" s="9">
        <v>0.1277872253084</v>
      </c>
      <c r="E44" s="9">
        <v>3.3885314955960102E-2</v>
      </c>
      <c r="F44" s="9">
        <v>0.12621678289268301</v>
      </c>
      <c r="G44" s="9">
        <v>0.26592658151013299</v>
      </c>
      <c r="H44" s="9">
        <v>3.6281545834123698</v>
      </c>
      <c r="I44" s="9">
        <v>0.252029191457526</v>
      </c>
      <c r="J44" s="9">
        <v>8.7061722994068429E-3</v>
      </c>
    </row>
    <row r="45" spans="1:10" ht="15.75" customHeight="1" x14ac:dyDescent="0.35">
      <c r="A45" s="4">
        <v>3500</v>
      </c>
      <c r="B45" s="4" t="s">
        <v>21</v>
      </c>
      <c r="C45" s="4">
        <v>55</v>
      </c>
      <c r="D45" s="8">
        <v>0.12015575221211</v>
      </c>
      <c r="E45" s="8">
        <v>2.7368231524635502E-2</v>
      </c>
      <c r="F45" s="8">
        <v>8.9602530073430706E-2</v>
      </c>
      <c r="G45" s="8">
        <v>0.177527008996754</v>
      </c>
      <c r="H45" s="8">
        <v>5.162415148899</v>
      </c>
      <c r="I45" s="8">
        <v>0.13405021140876</v>
      </c>
      <c r="J45" s="8">
        <v>2.9880461841376911E-3</v>
      </c>
    </row>
    <row r="46" spans="1:10" ht="15.75" customHeight="1" x14ac:dyDescent="0.35">
      <c r="A46" s="5">
        <v>3500</v>
      </c>
      <c r="B46" s="5" t="s">
        <v>22</v>
      </c>
      <c r="C46" s="5">
        <v>55</v>
      </c>
      <c r="D46" s="9">
        <v>0.14054343174124601</v>
      </c>
      <c r="E46" s="9">
        <v>3.03263338943284E-2</v>
      </c>
      <c r="F46" s="9">
        <v>0.13501202403052001</v>
      </c>
      <c r="G46" s="9">
        <v>0.169472264091762</v>
      </c>
      <c r="H46" s="9">
        <v>4.4396413337694902</v>
      </c>
      <c r="I46" s="9">
        <v>0.25558724995496701</v>
      </c>
      <c r="J46" s="9">
        <v>4.7699742749653141E-3</v>
      </c>
    </row>
    <row r="47" spans="1:10" ht="15.75" customHeight="1" x14ac:dyDescent="0.35">
      <c r="A47" s="4">
        <v>3500</v>
      </c>
      <c r="B47" s="4" t="s">
        <v>23</v>
      </c>
      <c r="C47" s="4">
        <v>55</v>
      </c>
      <c r="D47" s="8">
        <v>0.20834534272063501</v>
      </c>
      <c r="E47" s="8">
        <v>4.9082804217656303E-2</v>
      </c>
      <c r="F47" s="8">
        <v>0.200546436239945</v>
      </c>
      <c r="G47" s="8">
        <v>0.20049431021060901</v>
      </c>
      <c r="H47" s="8">
        <v>4.4943942551121596</v>
      </c>
      <c r="I47" s="8">
        <v>0.20777823623865199</v>
      </c>
      <c r="J47" s="8">
        <v>9.4450562542120944E-3</v>
      </c>
    </row>
    <row r="48" spans="1:10" ht="15.75" customHeight="1" x14ac:dyDescent="0.35">
      <c r="A48" s="5">
        <v>3500</v>
      </c>
      <c r="B48" s="5" t="s">
        <v>24</v>
      </c>
      <c r="C48" s="5">
        <v>55</v>
      </c>
      <c r="D48" s="9">
        <v>0.13872044290333799</v>
      </c>
      <c r="E48" s="9">
        <v>6.1365219310214103E-2</v>
      </c>
      <c r="F48" s="9">
        <v>0.13560740074333</v>
      </c>
      <c r="G48" s="9">
        <v>0.55436956730029296</v>
      </c>
      <c r="H48" s="9">
        <v>4.4038732665487403</v>
      </c>
      <c r="I48" s="9">
        <v>0.26568025637200798</v>
      </c>
      <c r="J48" s="9">
        <v>1.11882911835857E-2</v>
      </c>
    </row>
    <row r="49" spans="1:10" ht="15.75" customHeight="1" thickBot="1" x14ac:dyDescent="0.4">
      <c r="A49" s="6">
        <v>3500</v>
      </c>
      <c r="B49" s="6" t="s">
        <v>25</v>
      </c>
      <c r="C49" s="6">
        <v>55</v>
      </c>
      <c r="D49" s="10">
        <v>0.18641218677642499</v>
      </c>
      <c r="E49" s="10">
        <v>4.7417541872977899E-2</v>
      </c>
      <c r="F49" s="10">
        <v>0.16511264126966599</v>
      </c>
      <c r="G49" s="10">
        <v>0.36149177437532998</v>
      </c>
      <c r="H49" s="10">
        <v>3.8865791344362299</v>
      </c>
      <c r="I49" s="10">
        <v>0.44743707352883999</v>
      </c>
      <c r="J49" s="10">
        <v>1.0400809563132354E-2</v>
      </c>
    </row>
    <row r="50" spans="1:10" ht="15.75" customHeight="1" x14ac:dyDescent="0.35">
      <c r="A50" s="3">
        <v>5200</v>
      </c>
      <c r="B50" s="3" t="s">
        <v>18</v>
      </c>
      <c r="C50" s="3">
        <v>53</v>
      </c>
      <c r="D50" s="7">
        <v>0.123393381068272</v>
      </c>
      <c r="E50" s="7">
        <v>3.0098408915108201E-2</v>
      </c>
      <c r="F50" s="7">
        <v>9.17319028119397E-2</v>
      </c>
      <c r="G50" s="7">
        <v>0.28730492425821103</v>
      </c>
      <c r="H50" s="7">
        <v>2.8132895090939001</v>
      </c>
      <c r="I50" s="7">
        <v>0.24360075394977801</v>
      </c>
      <c r="J50" s="7">
        <v>3.4254747105463305E-3</v>
      </c>
    </row>
    <row r="51" spans="1:10" ht="15.75" customHeight="1" x14ac:dyDescent="0.35">
      <c r="A51" s="4">
        <v>5200</v>
      </c>
      <c r="B51" s="4" t="s">
        <v>19</v>
      </c>
      <c r="C51" s="4">
        <v>53</v>
      </c>
      <c r="D51" s="8">
        <v>0.13450673139456301</v>
      </c>
      <c r="E51" s="8">
        <v>1.9953083135332599E-2</v>
      </c>
      <c r="F51" s="8">
        <v>8.7285462808273998E-2</v>
      </c>
      <c r="G51" s="8">
        <v>0.2127303383088</v>
      </c>
      <c r="H51" s="8">
        <v>2.65485386714853</v>
      </c>
      <c r="I51" s="8">
        <v>0.17451402492823001</v>
      </c>
      <c r="J51" s="8">
        <v>2.3435133747903136E-3</v>
      </c>
    </row>
    <row r="52" spans="1:10" ht="15.75" customHeight="1" x14ac:dyDescent="0.35">
      <c r="A52" s="5">
        <v>5200</v>
      </c>
      <c r="B52" s="5" t="s">
        <v>20</v>
      </c>
      <c r="C52" s="5">
        <v>53</v>
      </c>
      <c r="D52" s="9">
        <v>9.9243686337275497E-2</v>
      </c>
      <c r="E52" s="9">
        <v>3.74997271656713E-2</v>
      </c>
      <c r="F52" s="9">
        <v>7.4263582803016606E-2</v>
      </c>
      <c r="G52" s="9">
        <v>0.81986826205504104</v>
      </c>
      <c r="H52" s="9">
        <v>2.5287608597242599</v>
      </c>
      <c r="I52" s="9">
        <v>0.59233796793857196</v>
      </c>
      <c r="J52" s="9">
        <v>5.9838798433833433E-3</v>
      </c>
    </row>
    <row r="53" spans="1:10" ht="15.75" customHeight="1" x14ac:dyDescent="0.35">
      <c r="A53" s="4">
        <v>5200</v>
      </c>
      <c r="B53" s="4" t="s">
        <v>21</v>
      </c>
      <c r="C53" s="4">
        <v>53</v>
      </c>
      <c r="D53" s="8">
        <v>9.7016779698443203E-2</v>
      </c>
      <c r="E53" s="8">
        <v>2.65689573593554E-2</v>
      </c>
      <c r="F53" s="8">
        <v>6.1700765300769303E-2</v>
      </c>
      <c r="G53" s="8">
        <v>0.34362757878148298</v>
      </c>
      <c r="H53" s="8">
        <v>2.28124763858757</v>
      </c>
      <c r="I53" s="8">
        <v>0.40919728242344899</v>
      </c>
      <c r="J53" s="8">
        <v>3.9508801413050834E-3</v>
      </c>
    </row>
    <row r="54" spans="1:10" ht="15.75" customHeight="1" x14ac:dyDescent="0.35">
      <c r="A54" s="5">
        <v>5200</v>
      </c>
      <c r="B54" s="5" t="s">
        <v>22</v>
      </c>
      <c r="C54" s="5">
        <v>53</v>
      </c>
      <c r="D54" s="9">
        <v>0.114984351141783</v>
      </c>
      <c r="E54" s="9">
        <v>2.93594824890272E-2</v>
      </c>
      <c r="F54" s="9">
        <v>8.9621301667176301E-2</v>
      </c>
      <c r="G54" s="9">
        <v>0.24149279740829199</v>
      </c>
      <c r="H54" s="9">
        <v>2.4221451240052398</v>
      </c>
      <c r="I54" s="9">
        <v>0.35306292050773902</v>
      </c>
      <c r="J54" s="9">
        <v>3.777790568618271E-3</v>
      </c>
    </row>
    <row r="55" spans="1:10" ht="15.75" customHeight="1" x14ac:dyDescent="0.35">
      <c r="A55" s="4">
        <v>5200</v>
      </c>
      <c r="B55" s="4" t="s">
        <v>23</v>
      </c>
      <c r="C55" s="4">
        <v>53</v>
      </c>
      <c r="D55" s="8">
        <v>0.14192412561715401</v>
      </c>
      <c r="E55" s="8">
        <v>1.81661952700824E-2</v>
      </c>
      <c r="F55" s="8">
        <v>9.9096559159576297E-2</v>
      </c>
      <c r="G55" s="8">
        <v>0.20459345118696901</v>
      </c>
      <c r="H55" s="8">
        <v>2.5232969373495102</v>
      </c>
      <c r="I55" s="8">
        <v>0.17133365328201</v>
      </c>
      <c r="J55" s="8">
        <v>2.3872360539388118E-3</v>
      </c>
    </row>
    <row r="56" spans="1:10" ht="15.75" customHeight="1" x14ac:dyDescent="0.35">
      <c r="A56" s="5">
        <v>5200</v>
      </c>
      <c r="B56" s="5" t="s">
        <v>24</v>
      </c>
      <c r="C56" s="5">
        <v>53</v>
      </c>
      <c r="D56" s="9">
        <v>0.117574898240937</v>
      </c>
      <c r="E56" s="9">
        <v>5.9379391242399403E-2</v>
      </c>
      <c r="F56" s="9">
        <v>8.3878458603262096E-2</v>
      </c>
      <c r="G56" s="9">
        <v>0.94246567246968405</v>
      </c>
      <c r="H56" s="9">
        <v>3.5523072138799998</v>
      </c>
      <c r="I56" s="9">
        <v>0.67203621119739898</v>
      </c>
      <c r="J56" s="9">
        <v>6.4842091439952284E-3</v>
      </c>
    </row>
    <row r="57" spans="1:10" ht="15.75" customHeight="1" thickBot="1" x14ac:dyDescent="0.4">
      <c r="A57" s="6">
        <v>5200</v>
      </c>
      <c r="B57" s="6" t="s">
        <v>25</v>
      </c>
      <c r="C57" s="6">
        <v>53</v>
      </c>
      <c r="D57" s="10">
        <v>0.13635120246579799</v>
      </c>
      <c r="E57" s="10">
        <v>3.2391887930937897E-2</v>
      </c>
      <c r="F57" s="10">
        <v>0.105860855029508</v>
      </c>
      <c r="G57" s="10">
        <v>0.40221975905444801</v>
      </c>
      <c r="H57" s="10">
        <v>2.3832432668784</v>
      </c>
      <c r="I57" s="10">
        <v>0.36811303112389998</v>
      </c>
      <c r="J57" s="10">
        <v>3.8416978511285117E-3</v>
      </c>
    </row>
    <row r="58" spans="1:10" ht="15.75" customHeight="1" x14ac:dyDescent="0.35">
      <c r="A58" s="3">
        <v>5800</v>
      </c>
      <c r="B58" s="3" t="s">
        <v>18</v>
      </c>
      <c r="C58" s="3">
        <v>54</v>
      </c>
      <c r="D58" s="7">
        <v>0.124253759564215</v>
      </c>
      <c r="E58" s="7">
        <v>2.86504402080228E-2</v>
      </c>
      <c r="F58" s="7">
        <v>8.1841456237177604E-2</v>
      </c>
      <c r="G58" s="7">
        <v>0.34857468076331</v>
      </c>
      <c r="H58" s="7">
        <v>2.6554840807543898</v>
      </c>
      <c r="I58" s="7">
        <v>0.28346394194849001</v>
      </c>
      <c r="J58" s="7">
        <v>2.3129984039457888E-3</v>
      </c>
    </row>
    <row r="59" spans="1:10" ht="15.75" customHeight="1" x14ac:dyDescent="0.35">
      <c r="A59" s="4">
        <v>5800</v>
      </c>
      <c r="B59" s="4" t="s">
        <v>19</v>
      </c>
      <c r="C59" s="4">
        <v>54</v>
      </c>
      <c r="D59" s="8">
        <v>0.13018928344650299</v>
      </c>
      <c r="E59" s="8">
        <v>2.5525885779378501E-2</v>
      </c>
      <c r="F59" s="8">
        <v>8.56305394584745E-2</v>
      </c>
      <c r="G59" s="8">
        <v>0.33316439784875201</v>
      </c>
      <c r="H59" s="8">
        <v>2.7506074987712199</v>
      </c>
      <c r="I59" s="8">
        <v>0.27774009705251101</v>
      </c>
      <c r="J59" s="8">
        <v>2.3294145776598081E-3</v>
      </c>
    </row>
    <row r="60" spans="1:10" ht="15.75" customHeight="1" x14ac:dyDescent="0.35">
      <c r="A60" s="5">
        <v>5800</v>
      </c>
      <c r="B60" s="5" t="s">
        <v>20</v>
      </c>
      <c r="C60" s="5">
        <v>54</v>
      </c>
      <c r="D60" s="9">
        <v>0.101644560887348</v>
      </c>
      <c r="E60" s="9">
        <v>3.9953009820281001E-2</v>
      </c>
      <c r="F60" s="9">
        <v>6.7093304044987701E-2</v>
      </c>
      <c r="G60" s="9">
        <v>0.82039842375877003</v>
      </c>
      <c r="H60" s="9">
        <v>2.1864393812388299</v>
      </c>
      <c r="I60" s="9">
        <v>0.708087586558652</v>
      </c>
      <c r="J60" s="9">
        <v>4.5054574918668953E-3</v>
      </c>
    </row>
    <row r="61" spans="1:10" ht="15.75" customHeight="1" x14ac:dyDescent="0.35">
      <c r="A61" s="4">
        <v>5800</v>
      </c>
      <c r="B61" s="4" t="s">
        <v>21</v>
      </c>
      <c r="C61" s="4">
        <v>54</v>
      </c>
      <c r="D61" s="8">
        <v>0.100228898008969</v>
      </c>
      <c r="E61" s="8">
        <v>2.17933834630363E-2</v>
      </c>
      <c r="F61" s="8">
        <v>5.8208911446757203E-2</v>
      </c>
      <c r="G61" s="8">
        <v>0.27778524306491997</v>
      </c>
      <c r="H61" s="8">
        <v>2.10683872247471</v>
      </c>
      <c r="I61" s="8">
        <v>0.34430268801789599</v>
      </c>
      <c r="J61" s="8">
        <v>2.4286812097781009E-3</v>
      </c>
    </row>
    <row r="62" spans="1:10" ht="15.75" customHeight="1" x14ac:dyDescent="0.35">
      <c r="A62" s="5">
        <v>5800</v>
      </c>
      <c r="B62" s="5" t="s">
        <v>22</v>
      </c>
      <c r="C62" s="5">
        <v>54</v>
      </c>
      <c r="D62" s="9">
        <v>0.115805964922553</v>
      </c>
      <c r="E62" s="9">
        <v>2.6949566569568099E-2</v>
      </c>
      <c r="F62" s="9">
        <v>8.4027739078543995E-2</v>
      </c>
      <c r="G62" s="9">
        <v>0.283217205352777</v>
      </c>
      <c r="H62" s="9">
        <v>2.2157126390237201</v>
      </c>
      <c r="I62" s="9">
        <v>0.32400975032766499</v>
      </c>
      <c r="J62" s="9">
        <v>2.6274197344563952E-3</v>
      </c>
    </row>
    <row r="63" spans="1:10" ht="15.75" customHeight="1" x14ac:dyDescent="0.35">
      <c r="A63" s="4">
        <v>5800</v>
      </c>
      <c r="B63" s="4" t="s">
        <v>23</v>
      </c>
      <c r="C63" s="4">
        <v>54</v>
      </c>
      <c r="D63" s="8">
        <v>0.140578172765251</v>
      </c>
      <c r="E63" s="8">
        <v>2.80075411169977E-2</v>
      </c>
      <c r="F63" s="8">
        <v>9.5280061851583303E-2</v>
      </c>
      <c r="G63" s="8">
        <v>0.24248696289724</v>
      </c>
      <c r="H63" s="8">
        <v>2.1806706128905802</v>
      </c>
      <c r="I63" s="8">
        <v>0.22674643419884599</v>
      </c>
      <c r="J63" s="8">
        <v>2.255274435681126E-3</v>
      </c>
    </row>
    <row r="64" spans="1:10" ht="15.75" customHeight="1" x14ac:dyDescent="0.35">
      <c r="A64" s="5">
        <v>5800</v>
      </c>
      <c r="B64" s="5" t="s">
        <v>24</v>
      </c>
      <c r="C64" s="5">
        <v>54</v>
      </c>
      <c r="D64" s="9">
        <v>0.11254730334256099</v>
      </c>
      <c r="E64" s="9">
        <v>4.8767616231926998E-2</v>
      </c>
      <c r="F64" s="9">
        <v>7.8625804771598695E-2</v>
      </c>
      <c r="G64" s="9">
        <v>1.06495709350176</v>
      </c>
      <c r="H64" s="9">
        <v>3.6291351940674201</v>
      </c>
      <c r="I64" s="9">
        <v>0.86293064850325496</v>
      </c>
      <c r="J64" s="9">
        <v>4.0789269688656961E-3</v>
      </c>
    </row>
    <row r="65" spans="1:10" ht="15.75" customHeight="1" thickBot="1" x14ac:dyDescent="0.4">
      <c r="A65" s="6">
        <v>5800</v>
      </c>
      <c r="B65" s="6" t="s">
        <v>25</v>
      </c>
      <c r="C65" s="6">
        <v>54</v>
      </c>
      <c r="D65" s="10">
        <v>0.12669042685286999</v>
      </c>
      <c r="E65" s="10">
        <v>3.25866276672978E-2</v>
      </c>
      <c r="F65" s="10">
        <v>8.3551695750613594E-2</v>
      </c>
      <c r="G65" s="10">
        <v>0.53876480074948996</v>
      </c>
      <c r="H65" s="10">
        <v>2.2539803990646199</v>
      </c>
      <c r="I65" s="10">
        <v>0.57015203275832904</v>
      </c>
      <c r="J65" s="10">
        <v>3.7655455761276251E-3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5"/>
  <sheetViews>
    <sheetView zoomScale="81" zoomScaleNormal="248" workbookViewId="0">
      <selection activeCell="J1" sqref="J1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34.3632812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17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18</v>
      </c>
      <c r="C2" s="3">
        <v>1</v>
      </c>
      <c r="D2" s="7">
        <f>Table5[[#This Row],[SAR_wholebody (mW/kg)]]*10^3/Table5[[#This Row],[Input Power (mW)]]</f>
        <v>3.7720523744482395</v>
      </c>
      <c r="E2" s="7">
        <f>Table5[[#This Row],[SAR_head (mW/kg)]]*10^3/Table5[[#This Row],[Input Power (mW)]]</f>
        <v>0.54675666443394388</v>
      </c>
      <c r="F2" s="7">
        <f>Table5[[#This Row],[SAR_trunk (mW/kg)]]*10^3/Table5[[#This Row],[Input Power (mW)]]</f>
        <v>3.6385938314734569</v>
      </c>
      <c r="G2" s="7">
        <f>Table5[[#This Row],[psSAR10g_eyes (mW/kg)]]*10^3/Table5[[#This Row],[Input Power (mW)]]</f>
        <v>4.5068462958897753</v>
      </c>
      <c r="H2" s="7">
        <f>Table5[[#This Row],[psSAR10g_skin (mW/kg)]]*10^3/Table5[[#This Row],[Input Power (mW)]]</f>
        <v>41.02994391631573</v>
      </c>
      <c r="I2" s="7">
        <f>Table5[[#This Row],[psSAR10g_brain (mW/kg)]]*10^3/Table5[[#This Row],[Input Power (mW)]]</f>
        <v>2.4929510432440263</v>
      </c>
      <c r="J2" s="7">
        <f>Table5[[#This Row],[SAR_brain (mW/kg)]]*10^3/Table5[[#This Row],[Input Power (mW)]]</f>
        <v>0.43127633229812734</v>
      </c>
    </row>
    <row r="3" spans="1:10" ht="15.75" customHeight="1" x14ac:dyDescent="0.35">
      <c r="A3" s="4">
        <v>700</v>
      </c>
      <c r="B3" s="4" t="s">
        <v>19</v>
      </c>
      <c r="C3" s="4">
        <v>1</v>
      </c>
      <c r="D3" s="8">
        <f>Table5[[#This Row],[SAR_wholebody (mW/kg)]]*10^3/Table5[[#This Row],[Input Power (mW)]]</f>
        <v>3.5007069163703481</v>
      </c>
      <c r="E3" s="8">
        <f>Table5[[#This Row],[SAR_head (mW/kg)]]*10^3/Table5[[#This Row],[Input Power (mW)]]</f>
        <v>0.25639312521695734</v>
      </c>
      <c r="F3" s="8">
        <f>Table5[[#This Row],[SAR_trunk (mW/kg)]]*10^3/Table5[[#This Row],[Input Power (mW)]]</f>
        <v>1.7266690493123371</v>
      </c>
      <c r="G3" s="8">
        <f>Table5[[#This Row],[psSAR10g_eyes (mW/kg)]]*10^3/Table5[[#This Row],[Input Power (mW)]]</f>
        <v>1.9059209173581013</v>
      </c>
      <c r="H3" s="8">
        <f>Table5[[#This Row],[psSAR10g_skin (mW/kg)]]*10^3/Table5[[#This Row],[Input Power (mW)]]</f>
        <v>53.67869192325356</v>
      </c>
      <c r="I3" s="8">
        <f>Table5[[#This Row],[psSAR10g_brain (mW/kg)]]*10^3/Table5[[#This Row],[Input Power (mW)]]</f>
        <v>2.5306647435253784</v>
      </c>
      <c r="J3" s="8">
        <f>Table5[[#This Row],[SAR_brain (mW/kg)]]*10^3/Table5[[#This Row],[Input Power (mW)]]</f>
        <v>0.1091614970335664</v>
      </c>
    </row>
    <row r="4" spans="1:10" ht="15.75" customHeight="1" x14ac:dyDescent="0.35">
      <c r="A4" s="5">
        <v>700</v>
      </c>
      <c r="B4" s="5" t="s">
        <v>20</v>
      </c>
      <c r="C4" s="5">
        <v>1</v>
      </c>
      <c r="D4" s="9">
        <f>Table5[[#This Row],[SAR_wholebody (mW/kg)]]*10^3/Table5[[#This Row],[Input Power (mW)]]</f>
        <v>1.1281638742880638</v>
      </c>
      <c r="E4" s="9">
        <f>Table5[[#This Row],[SAR_head (mW/kg)]]*10^3/Table5[[#This Row],[Input Power (mW)]]</f>
        <v>0.17350079292062134</v>
      </c>
      <c r="F4" s="9">
        <f>Table5[[#This Row],[SAR_trunk (mW/kg)]]*10^3/Table5[[#This Row],[Input Power (mW)]]</f>
        <v>0.82750474549470032</v>
      </c>
      <c r="G4" s="9">
        <f>Table5[[#This Row],[psSAR10g_eyes (mW/kg)]]*10^3/Table5[[#This Row],[Input Power (mW)]]</f>
        <v>1.0202822922709325</v>
      </c>
      <c r="H4" s="9">
        <f>Table5[[#This Row],[psSAR10g_skin (mW/kg)]]*10^3/Table5[[#This Row],[Input Power (mW)]]</f>
        <v>21.200860678125352</v>
      </c>
      <c r="I4" s="9">
        <f>Table5[[#This Row],[psSAR10g_brain (mW/kg)]]*10^3/Table5[[#This Row],[Input Power (mW)]]</f>
        <v>0.62465742498055443</v>
      </c>
      <c r="J4" s="9">
        <f>Table5[[#This Row],[SAR_brain (mW/kg)]]*10^3/Table5[[#This Row],[Input Power (mW)]]</f>
        <v>0.12727664769209876</v>
      </c>
    </row>
    <row r="5" spans="1:10" ht="15.75" customHeight="1" x14ac:dyDescent="0.35">
      <c r="A5" s="4">
        <v>700</v>
      </c>
      <c r="B5" s="4" t="s">
        <v>21</v>
      </c>
      <c r="C5" s="4">
        <v>1</v>
      </c>
      <c r="D5" s="8">
        <f>Table5[[#This Row],[SAR_wholebody (mW/kg)]]*10^3/Table5[[#This Row],[Input Power (mW)]]</f>
        <v>2.6026730379015692</v>
      </c>
      <c r="E5" s="8">
        <f>Table5[[#This Row],[SAR_head (mW/kg)]]*10^3/Table5[[#This Row],[Input Power (mW)]]</f>
        <v>0.2048872768623442</v>
      </c>
      <c r="F5" s="8">
        <f>Table5[[#This Row],[SAR_trunk (mW/kg)]]*10^3/Table5[[#This Row],[Input Power (mW)]]</f>
        <v>1.4167730142676032</v>
      </c>
      <c r="G5" s="8">
        <f>Table5[[#This Row],[psSAR10g_eyes (mW/kg)]]*10^3/Table5[[#This Row],[Input Power (mW)]]</f>
        <v>1.632148210549131</v>
      </c>
      <c r="H5" s="8">
        <f>Table5[[#This Row],[psSAR10g_skin (mW/kg)]]*10^3/Table5[[#This Row],[Input Power (mW)]]</f>
        <v>44.276996063526965</v>
      </c>
      <c r="I5" s="8">
        <f>Table5[[#This Row],[psSAR10g_brain (mW/kg)]]*10^3/Table5[[#This Row],[Input Power (mW)]]</f>
        <v>1.5549552373441573</v>
      </c>
      <c r="J5" s="8">
        <f>Table5[[#This Row],[SAR_brain (mW/kg)]]*10^3/Table5[[#This Row],[Input Power (mW)]]</f>
        <v>9.674711984400472E-2</v>
      </c>
    </row>
    <row r="6" spans="1:10" ht="15.75" customHeight="1" x14ac:dyDescent="0.35">
      <c r="A6" s="5">
        <v>700</v>
      </c>
      <c r="B6" s="5" t="s">
        <v>22</v>
      </c>
      <c r="C6" s="5">
        <v>1</v>
      </c>
      <c r="D6" s="9">
        <f>Table5[[#This Row],[SAR_wholebody (mW/kg)]]*10^3/Table5[[#This Row],[Input Power (mW)]]</f>
        <v>3.9460355293754312</v>
      </c>
      <c r="E6" s="9">
        <f>Table5[[#This Row],[SAR_head (mW/kg)]]*10^3/Table5[[#This Row],[Input Power (mW)]]</f>
        <v>0.5961034069668053</v>
      </c>
      <c r="F6" s="9">
        <f>Table5[[#This Row],[SAR_trunk (mW/kg)]]*10^3/Table5[[#This Row],[Input Power (mW)]]</f>
        <v>4.0288024253151686</v>
      </c>
      <c r="G6" s="9">
        <f>Table5[[#This Row],[psSAR10g_eyes (mW/kg)]]*10^3/Table5[[#This Row],[Input Power (mW)]]</f>
        <v>5.9643927109062176</v>
      </c>
      <c r="H6" s="9">
        <f>Table5[[#This Row],[psSAR10g_skin (mW/kg)]]*10^3/Table5[[#This Row],[Input Power (mW)]]</f>
        <v>53.182506308829588</v>
      </c>
      <c r="I6" s="9">
        <f>Table5[[#This Row],[psSAR10g_brain (mW/kg)]]*10^3/Table5[[#This Row],[Input Power (mW)]]</f>
        <v>2.4266641818503816</v>
      </c>
      <c r="J6" s="9">
        <f>Table5[[#This Row],[SAR_brain (mW/kg)]]*10^3/Table5[[#This Row],[Input Power (mW)]]</f>
        <v>0.44795209069325842</v>
      </c>
    </row>
    <row r="7" spans="1:10" ht="15.75" customHeight="1" x14ac:dyDescent="0.35">
      <c r="A7" s="4">
        <v>700</v>
      </c>
      <c r="B7" s="4" t="s">
        <v>23</v>
      </c>
      <c r="C7" s="4">
        <v>1</v>
      </c>
      <c r="D7" s="8">
        <f>Table5[[#This Row],[SAR_wholebody (mW/kg)]]*10^3/Table5[[#This Row],[Input Power (mW)]]</f>
        <v>2.7002963412392282</v>
      </c>
      <c r="E7" s="8">
        <f>Table5[[#This Row],[SAR_head (mW/kg)]]*10^3/Table5[[#This Row],[Input Power (mW)]]</f>
        <v>0.18751611835336854</v>
      </c>
      <c r="F7" s="8">
        <f>Table5[[#This Row],[SAR_trunk (mW/kg)]]*10^3/Table5[[#This Row],[Input Power (mW)]]</f>
        <v>1.2529534384244421</v>
      </c>
      <c r="G7" s="8">
        <f>Table5[[#This Row],[psSAR10g_eyes (mW/kg)]]*10^3/Table5[[#This Row],[Input Power (mW)]]</f>
        <v>1.127172239996322</v>
      </c>
      <c r="H7" s="8">
        <f>Table5[[#This Row],[psSAR10g_skin (mW/kg)]]*10^3/Table5[[#This Row],[Input Power (mW)]]</f>
        <v>58.235789126851309</v>
      </c>
      <c r="I7" s="8">
        <f>Table5[[#This Row],[psSAR10g_brain (mW/kg)]]*10^3/Table5[[#This Row],[Input Power (mW)]]</f>
        <v>0.84286676053978282</v>
      </c>
      <c r="J7" s="8">
        <f>Table5[[#This Row],[SAR_brain (mW/kg)]]*10^3/Table5[[#This Row],[Input Power (mW)]]</f>
        <v>0.12726768307764766</v>
      </c>
    </row>
    <row r="8" spans="1:10" ht="15.75" customHeight="1" x14ac:dyDescent="0.35">
      <c r="A8" s="5">
        <v>700</v>
      </c>
      <c r="B8" s="5" t="s">
        <v>24</v>
      </c>
      <c r="C8" s="5">
        <v>1</v>
      </c>
      <c r="D8" s="9">
        <f>Table5[[#This Row],[SAR_wholebody (mW/kg)]]*10^3/Table5[[#This Row],[Input Power (mW)]]</f>
        <v>3.8333539384865918</v>
      </c>
      <c r="E8" s="9">
        <f>Table5[[#This Row],[SAR_head (mW/kg)]]*10^3/Table5[[#This Row],[Input Power (mW)]]</f>
        <v>1.2654244287953857</v>
      </c>
      <c r="F8" s="9">
        <f>Table5[[#This Row],[SAR_trunk (mW/kg)]]*10^3/Table5[[#This Row],[Input Power (mW)]]</f>
        <v>5.9035779746388011</v>
      </c>
      <c r="G8" s="9">
        <f>Table5[[#This Row],[psSAR10g_eyes (mW/kg)]]*10^3/Table5[[#This Row],[Input Power (mW)]]</f>
        <v>12.516348005128538</v>
      </c>
      <c r="H8" s="9">
        <f>Table5[[#This Row],[psSAR10g_skin (mW/kg)]]*10^3/Table5[[#This Row],[Input Power (mW)]]</f>
        <v>48.204929605207866</v>
      </c>
      <c r="I8" s="9">
        <f>Table5[[#This Row],[psSAR10g_brain (mW/kg)]]*10^3/Table5[[#This Row],[Input Power (mW)]]</f>
        <v>6.6220210047185768</v>
      </c>
      <c r="J8" s="9">
        <f>Table5[[#This Row],[SAR_brain (mW/kg)]]*10^3/Table5[[#This Row],[Input Power (mW)]]</f>
        <v>1.0019877779254682</v>
      </c>
    </row>
    <row r="9" spans="1:10" ht="15.75" customHeight="1" thickBot="1" x14ac:dyDescent="0.4">
      <c r="A9" s="6">
        <v>700</v>
      </c>
      <c r="B9" s="6" t="s">
        <v>25</v>
      </c>
      <c r="C9" s="6">
        <v>1</v>
      </c>
      <c r="D9" s="10">
        <f>Table5[[#This Row],[SAR_wholebody (mW/kg)]]*10^3/Table5[[#This Row],[Input Power (mW)]]</f>
        <v>3.3823997323832922</v>
      </c>
      <c r="E9" s="10">
        <f>Table5[[#This Row],[SAR_head (mW/kg)]]*10^3/Table5[[#This Row],[Input Power (mW)]]</f>
        <v>0.61984809659784645</v>
      </c>
      <c r="F9" s="10">
        <f>Table5[[#This Row],[SAR_trunk (mW/kg)]]*10^3/Table5[[#This Row],[Input Power (mW)]]</f>
        <v>3.9305184709476402</v>
      </c>
      <c r="G9" s="10">
        <f>Table5[[#This Row],[psSAR10g_eyes (mW/kg)]]*10^3/Table5[[#This Row],[Input Power (mW)]]</f>
        <v>4.2236307765144199</v>
      </c>
      <c r="H9" s="10">
        <f>Table5[[#This Row],[psSAR10g_skin (mW/kg)]]*10^3/Table5[[#This Row],[Input Power (mW)]]</f>
        <v>59.221376640898129</v>
      </c>
      <c r="I9" s="10">
        <f>Table5[[#This Row],[psSAR10g_brain (mW/kg)]]*10^3/Table5[[#This Row],[Input Power (mW)]]</f>
        <v>2.5387597251277869</v>
      </c>
      <c r="J9" s="10">
        <f>Table5[[#This Row],[SAR_brain (mW/kg)]]*10^3/Table5[[#This Row],[Input Power (mW)]]</f>
        <v>0.2822644520417994</v>
      </c>
    </row>
    <row r="10" spans="1:10" ht="15.75" customHeight="1" x14ac:dyDescent="0.35">
      <c r="A10" s="3">
        <v>835</v>
      </c>
      <c r="B10" s="3" t="s">
        <v>18</v>
      </c>
      <c r="C10" s="3">
        <v>1</v>
      </c>
      <c r="D10" s="7">
        <f>Table5[[#This Row],[SAR_wholebody (mW/kg)]]*10^3/Table5[[#This Row],[Input Power (mW)]]</f>
        <v>3.1626313311730305</v>
      </c>
      <c r="E10" s="7">
        <f>Table5[[#This Row],[SAR_head (mW/kg)]]*10^3/Table5[[#This Row],[Input Power (mW)]]</f>
        <v>0.58334456412755709</v>
      </c>
      <c r="F10" s="7">
        <f>Table5[[#This Row],[SAR_trunk (mW/kg)]]*10^3/Table5[[#This Row],[Input Power (mW)]]</f>
        <v>2.891195884374627</v>
      </c>
      <c r="G10" s="7">
        <f>Table5[[#This Row],[psSAR10g_eyes (mW/kg)]]*10^3/Table5[[#This Row],[Input Power (mW)]]</f>
        <v>2.8563625023333423</v>
      </c>
      <c r="H10" s="7">
        <f>Table5[[#This Row],[psSAR10g_skin (mW/kg)]]*10^3/Table5[[#This Row],[Input Power (mW)]]</f>
        <v>49.633704151733774</v>
      </c>
      <c r="I10" s="7">
        <f>Table5[[#This Row],[psSAR10g_brain (mW/kg)]]*10^3/Table5[[#This Row],[Input Power (mW)]]</f>
        <v>2.1942940120112717</v>
      </c>
      <c r="J10" s="7">
        <f>Table5[[#This Row],[SAR_brain (mW/kg)]]*10^3/Table5[[#This Row],[Input Power (mW)]]</f>
        <v>0.46537306348552632</v>
      </c>
    </row>
    <row r="11" spans="1:10" ht="15.75" customHeight="1" x14ac:dyDescent="0.35">
      <c r="A11" s="4">
        <v>835</v>
      </c>
      <c r="B11" s="4" t="s">
        <v>19</v>
      </c>
      <c r="C11" s="4">
        <v>1</v>
      </c>
      <c r="D11" s="8">
        <f>Table5[[#This Row],[SAR_wholebody (mW/kg)]]*10^3/Table5[[#This Row],[Input Power (mW)]]</f>
        <v>2.9667315780182277</v>
      </c>
      <c r="E11" s="8">
        <f>Table5[[#This Row],[SAR_head (mW/kg)]]*10^3/Table5[[#This Row],[Input Power (mW)]]</f>
        <v>0.48548050891823685</v>
      </c>
      <c r="F11" s="8">
        <f>Table5[[#This Row],[SAR_trunk (mW/kg)]]*10^3/Table5[[#This Row],[Input Power (mW)]]</f>
        <v>1.8495541853491271</v>
      </c>
      <c r="G11" s="8">
        <f>Table5[[#This Row],[psSAR10g_eyes (mW/kg)]]*10^3/Table5[[#This Row],[Input Power (mW)]]</f>
        <v>3.9851771816651316</v>
      </c>
      <c r="H11" s="8">
        <f>Table5[[#This Row],[psSAR10g_skin (mW/kg)]]*10^3/Table5[[#This Row],[Input Power (mW)]]</f>
        <v>23.240006851073815</v>
      </c>
      <c r="I11" s="8">
        <f>Table5[[#This Row],[psSAR10g_brain (mW/kg)]]*10^3/Table5[[#This Row],[Input Power (mW)]]</f>
        <v>1.9988396286215744</v>
      </c>
      <c r="J11" s="8">
        <f>Table5[[#This Row],[SAR_brain (mW/kg)]]*10^3/Table5[[#This Row],[Input Power (mW)]]</f>
        <v>0.27747340120144931</v>
      </c>
    </row>
    <row r="12" spans="1:10" ht="15.75" customHeight="1" x14ac:dyDescent="0.35">
      <c r="A12" s="5">
        <v>835</v>
      </c>
      <c r="B12" s="5" t="s">
        <v>20</v>
      </c>
      <c r="C12" s="5">
        <v>1</v>
      </c>
      <c r="D12" s="9">
        <f>Table5[[#This Row],[SAR_wholebody (mW/kg)]]*10^3/Table5[[#This Row],[Input Power (mW)]]</f>
        <v>0.90893594818153067</v>
      </c>
      <c r="E12" s="9">
        <f>Table5[[#This Row],[SAR_head (mW/kg)]]*10^3/Table5[[#This Row],[Input Power (mW)]]</f>
        <v>0.2314450386366636</v>
      </c>
      <c r="F12" s="9">
        <f>Table5[[#This Row],[SAR_trunk (mW/kg)]]*10^3/Table5[[#This Row],[Input Power (mW)]]</f>
        <v>0.7278645733716973</v>
      </c>
      <c r="G12" s="9">
        <f>Table5[[#This Row],[psSAR10g_eyes (mW/kg)]]*10^3/Table5[[#This Row],[Input Power (mW)]]</f>
        <v>0.73450557145118855</v>
      </c>
      <c r="H12" s="9">
        <f>Table5[[#This Row],[psSAR10g_skin (mW/kg)]]*10^3/Table5[[#This Row],[Input Power (mW)]]</f>
        <v>20.259149503348642</v>
      </c>
      <c r="I12" s="9">
        <f>Table5[[#This Row],[psSAR10g_brain (mW/kg)]]*10^3/Table5[[#This Row],[Input Power (mW)]]</f>
        <v>1.1435323771102806</v>
      </c>
      <c r="J12" s="9">
        <f>Table5[[#This Row],[SAR_brain (mW/kg)]]*10^3/Table5[[#This Row],[Input Power (mW)]]</f>
        <v>0.17072194469043947</v>
      </c>
    </row>
    <row r="13" spans="1:10" ht="15.75" customHeight="1" x14ac:dyDescent="0.35">
      <c r="A13" s="4">
        <v>835</v>
      </c>
      <c r="B13" s="4" t="s">
        <v>21</v>
      </c>
      <c r="C13" s="4">
        <v>1</v>
      </c>
      <c r="D13" s="8">
        <f>Table5[[#This Row],[SAR_wholebody (mW/kg)]]*10^3/Table5[[#This Row],[Input Power (mW)]]</f>
        <v>2.3146258449043509</v>
      </c>
      <c r="E13" s="8">
        <f>Table5[[#This Row],[SAR_head (mW/kg)]]*10^3/Table5[[#This Row],[Input Power (mW)]]</f>
        <v>0.47925561571751318</v>
      </c>
      <c r="F13" s="8">
        <f>Table5[[#This Row],[SAR_trunk (mW/kg)]]*10^3/Table5[[#This Row],[Input Power (mW)]]</f>
        <v>1.4015518682339605</v>
      </c>
      <c r="G13" s="8">
        <f>Table5[[#This Row],[psSAR10g_eyes (mW/kg)]]*10^3/Table5[[#This Row],[Input Power (mW)]]</f>
        <v>2.3804084269921928</v>
      </c>
      <c r="H13" s="8">
        <f>Table5[[#This Row],[psSAR10g_skin (mW/kg)]]*10^3/Table5[[#This Row],[Input Power (mW)]]</f>
        <v>48.530700853718855</v>
      </c>
      <c r="I13" s="8">
        <f>Table5[[#This Row],[psSAR10g_brain (mW/kg)]]*10^3/Table5[[#This Row],[Input Power (mW)]]</f>
        <v>2.0818883507645962</v>
      </c>
      <c r="J13" s="8">
        <f>Table5[[#This Row],[SAR_brain (mW/kg)]]*10^3/Table5[[#This Row],[Input Power (mW)]]</f>
        <v>0.32833234525453259</v>
      </c>
    </row>
    <row r="14" spans="1:10" ht="15.75" customHeight="1" x14ac:dyDescent="0.35">
      <c r="A14" s="5">
        <v>835</v>
      </c>
      <c r="B14" s="5" t="s">
        <v>22</v>
      </c>
      <c r="C14" s="5">
        <v>1</v>
      </c>
      <c r="D14" s="9">
        <f>Table5[[#This Row],[SAR_wholebody (mW/kg)]]*10^3/Table5[[#This Row],[Input Power (mW)]]</f>
        <v>3.1072384434908682</v>
      </c>
      <c r="E14" s="9">
        <f>Table5[[#This Row],[SAR_head (mW/kg)]]*10^3/Table5[[#This Row],[Input Power (mW)]]</f>
        <v>0.70844497783906146</v>
      </c>
      <c r="F14" s="9">
        <f>Table5[[#This Row],[SAR_trunk (mW/kg)]]*10^3/Table5[[#This Row],[Input Power (mW)]]</f>
        <v>3.5678957885385745</v>
      </c>
      <c r="G14" s="9">
        <f>Table5[[#This Row],[psSAR10g_eyes (mW/kg)]]*10^3/Table5[[#This Row],[Input Power (mW)]]</f>
        <v>4.8924859940736845</v>
      </c>
      <c r="H14" s="9">
        <f>Table5[[#This Row],[psSAR10g_skin (mW/kg)]]*10^3/Table5[[#This Row],[Input Power (mW)]]</f>
        <v>19.548390112765176</v>
      </c>
      <c r="I14" s="9">
        <f>Table5[[#This Row],[psSAR10g_brain (mW/kg)]]*10^3/Table5[[#This Row],[Input Power (mW)]]</f>
        <v>3.0341677291335705</v>
      </c>
      <c r="J14" s="9">
        <f>Table5[[#This Row],[SAR_brain (mW/kg)]]*10^3/Table5[[#This Row],[Input Power (mW)]]</f>
        <v>0.54050369077236837</v>
      </c>
    </row>
    <row r="15" spans="1:10" ht="15.75" customHeight="1" x14ac:dyDescent="0.35">
      <c r="A15" s="4">
        <v>835</v>
      </c>
      <c r="B15" s="4" t="s">
        <v>23</v>
      </c>
      <c r="C15" s="4">
        <v>1</v>
      </c>
      <c r="D15" s="8">
        <f>Table5[[#This Row],[SAR_wholebody (mW/kg)]]*10^3/Table5[[#This Row],[Input Power (mW)]]</f>
        <v>2.2221268022417062</v>
      </c>
      <c r="E15" s="8">
        <f>Table5[[#This Row],[SAR_head (mW/kg)]]*10^3/Table5[[#This Row],[Input Power (mW)]]</f>
        <v>0.44663392493777193</v>
      </c>
      <c r="F15" s="8">
        <f>Table5[[#This Row],[SAR_trunk (mW/kg)]]*10^3/Table5[[#This Row],[Input Power (mW)]]</f>
        <v>1.3449871632655834</v>
      </c>
      <c r="G15" s="8">
        <f>Table5[[#This Row],[psSAR10g_eyes (mW/kg)]]*10^3/Table5[[#This Row],[Input Power (mW)]]</f>
        <v>3.59809628601618</v>
      </c>
      <c r="H15" s="8">
        <f>Table5[[#This Row],[psSAR10g_skin (mW/kg)]]*10^3/Table5[[#This Row],[Input Power (mW)]]</f>
        <v>39.587395106434819</v>
      </c>
      <c r="I15" s="8">
        <f>Table5[[#This Row],[psSAR10g_brain (mW/kg)]]*10^3/Table5[[#This Row],[Input Power (mW)]]</f>
        <v>1.6715664494441054</v>
      </c>
      <c r="J15" s="8">
        <f>Table5[[#This Row],[SAR_brain (mW/kg)]]*10^3/Table5[[#This Row],[Input Power (mW)]]</f>
        <v>0.29104841429680089</v>
      </c>
    </row>
    <row r="16" spans="1:10" ht="15.75" customHeight="1" x14ac:dyDescent="0.35">
      <c r="A16" s="5">
        <v>835</v>
      </c>
      <c r="B16" s="5" t="s">
        <v>24</v>
      </c>
      <c r="C16" s="5">
        <v>1</v>
      </c>
      <c r="D16" s="9">
        <f>Table5[[#This Row],[SAR_wholebody (mW/kg)]]*10^3/Table5[[#This Row],[Input Power (mW)]]</f>
        <v>3.0963154410304425</v>
      </c>
      <c r="E16" s="9">
        <f>Table5[[#This Row],[SAR_head (mW/kg)]]*10^3/Table5[[#This Row],[Input Power (mW)]]</f>
        <v>1.0062542229456668</v>
      </c>
      <c r="F16" s="9">
        <f>Table5[[#This Row],[SAR_trunk (mW/kg)]]*10^3/Table5[[#This Row],[Input Power (mW)]]</f>
        <v>4.6385297213204817</v>
      </c>
      <c r="G16" s="9">
        <f>Table5[[#This Row],[psSAR10g_eyes (mW/kg)]]*10^3/Table5[[#This Row],[Input Power (mW)]]</f>
        <v>5.1238952861785965</v>
      </c>
      <c r="H16" s="9">
        <f>Table5[[#This Row],[psSAR10g_skin (mW/kg)]]*10^3/Table5[[#This Row],[Input Power (mW)]]</f>
        <v>45.640652077689914</v>
      </c>
      <c r="I16" s="9">
        <f>Table5[[#This Row],[psSAR10g_brain (mW/kg)]]*10^3/Table5[[#This Row],[Input Power (mW)]]</f>
        <v>3.6077507587879429</v>
      </c>
      <c r="J16" s="9">
        <f>Table5[[#This Row],[SAR_brain (mW/kg)]]*10^3/Table5[[#This Row],[Input Power (mW)]]</f>
        <v>0.92565750376228073</v>
      </c>
    </row>
    <row r="17" spans="1:10" ht="15.75" customHeight="1" thickBot="1" x14ac:dyDescent="0.4">
      <c r="A17" s="6">
        <v>835</v>
      </c>
      <c r="B17" s="6" t="s">
        <v>25</v>
      </c>
      <c r="C17" s="6">
        <v>1</v>
      </c>
      <c r="D17" s="10">
        <f>Table5[[#This Row],[SAR_wholebody (mW/kg)]]*10^3/Table5[[#This Row],[Input Power (mW)]]</f>
        <v>2.7837389817528031</v>
      </c>
      <c r="E17" s="10">
        <f>Table5[[#This Row],[SAR_head (mW/kg)]]*10^3/Table5[[#This Row],[Input Power (mW)]]</f>
        <v>0.88210117550396061</v>
      </c>
      <c r="F17" s="10">
        <f>Table5[[#This Row],[SAR_trunk (mW/kg)]]*10^3/Table5[[#This Row],[Input Power (mW)]]</f>
        <v>3.1709834752189345</v>
      </c>
      <c r="G17" s="10">
        <f>Table5[[#This Row],[psSAR10g_eyes (mW/kg)]]*10^3/Table5[[#This Row],[Input Power (mW)]]</f>
        <v>4.0762957827987147</v>
      </c>
      <c r="H17" s="10">
        <f>Table5[[#This Row],[psSAR10g_skin (mW/kg)]]*10^3/Table5[[#This Row],[Input Power (mW)]]</f>
        <v>25.296065881319738</v>
      </c>
      <c r="I17" s="10">
        <f>Table5[[#This Row],[psSAR10g_brain (mW/kg)]]*10^3/Table5[[#This Row],[Input Power (mW)]]</f>
        <v>3.3152337151966713</v>
      </c>
      <c r="J17" s="10">
        <f>Table5[[#This Row],[SAR_brain (mW/kg)]]*10^3/Table5[[#This Row],[Input Power (mW)]]</f>
        <v>0.59026012149210527</v>
      </c>
    </row>
    <row r="18" spans="1:10" ht="15.75" customHeight="1" x14ac:dyDescent="0.35">
      <c r="A18" s="3">
        <v>1450</v>
      </c>
      <c r="B18" s="3" t="s">
        <v>18</v>
      </c>
      <c r="C18" s="3">
        <v>1</v>
      </c>
      <c r="D18" s="7">
        <f>Table5[[#This Row],[SAR_wholebody (mW/kg)]]*10^3/Table5[[#This Row],[Input Power (mW)]]</f>
        <v>2.9517200042747453</v>
      </c>
      <c r="E18" s="7">
        <f>Table5[[#This Row],[SAR_head (mW/kg)]]*10^3/Table5[[#This Row],[Input Power (mW)]]</f>
        <v>0.78605977432198026</v>
      </c>
      <c r="F18" s="7">
        <f>Table5[[#This Row],[SAR_trunk (mW/kg)]]*10^3/Table5[[#This Row],[Input Power (mW)]]</f>
        <v>3.8284762110875659</v>
      </c>
      <c r="G18" s="7">
        <f>Table5[[#This Row],[psSAR10g_eyes (mW/kg)]]*10^3/Table5[[#This Row],[Input Power (mW)]]</f>
        <v>6.2458892457716884</v>
      </c>
      <c r="H18" s="7">
        <f>Table5[[#This Row],[psSAR10g_skin (mW/kg)]]*10^3/Table5[[#This Row],[Input Power (mW)]]</f>
        <v>55.854039102529349</v>
      </c>
      <c r="I18" s="7">
        <f>Table5[[#This Row],[psSAR10g_brain (mW/kg)]]*10^3/Table5[[#This Row],[Input Power (mW)]]</f>
        <v>3.3765503009385474</v>
      </c>
      <c r="J18" s="7">
        <f>Table5[[#This Row],[SAR_brain (mW/kg)]]*10^3/Table5[[#This Row],[Input Power (mW)]]</f>
        <v>0.59255453367716993</v>
      </c>
    </row>
    <row r="19" spans="1:10" ht="15.75" customHeight="1" x14ac:dyDescent="0.35">
      <c r="A19" s="4">
        <v>1450</v>
      </c>
      <c r="B19" s="4" t="s">
        <v>19</v>
      </c>
      <c r="C19" s="4">
        <v>1</v>
      </c>
      <c r="D19" s="8">
        <f>Table5[[#This Row],[SAR_wholebody (mW/kg)]]*10^3/Table5[[#This Row],[Input Power (mW)]]</f>
        <v>3.7445420768757454</v>
      </c>
      <c r="E19" s="8">
        <f>Table5[[#This Row],[SAR_head (mW/kg)]]*10^3/Table5[[#This Row],[Input Power (mW)]]</f>
        <v>0.92849228433658493</v>
      </c>
      <c r="F19" s="8">
        <f>Table5[[#This Row],[SAR_trunk (mW/kg)]]*10^3/Table5[[#This Row],[Input Power (mW)]]</f>
        <v>4.5640793923026317</v>
      </c>
      <c r="G19" s="8">
        <f>Table5[[#This Row],[psSAR10g_eyes (mW/kg)]]*10^3/Table5[[#This Row],[Input Power (mW)]]</f>
        <v>7.3437357151130573</v>
      </c>
      <c r="H19" s="8">
        <f>Table5[[#This Row],[psSAR10g_skin (mW/kg)]]*10^3/Table5[[#This Row],[Input Power (mW)]]</f>
        <v>49.863448213782547</v>
      </c>
      <c r="I19" s="8">
        <f>Table5[[#This Row],[psSAR10g_brain (mW/kg)]]*10^3/Table5[[#This Row],[Input Power (mW)]]</f>
        <v>3.7619143436878777</v>
      </c>
      <c r="J19" s="8">
        <f>Table5[[#This Row],[SAR_brain (mW/kg)]]*10^3/Table5[[#This Row],[Input Power (mW)]]</f>
        <v>0.60961188996864479</v>
      </c>
    </row>
    <row r="20" spans="1:10" ht="15.75" customHeight="1" x14ac:dyDescent="0.35">
      <c r="A20" s="5">
        <v>1450</v>
      </c>
      <c r="B20" s="5" t="s">
        <v>20</v>
      </c>
      <c r="C20" s="5">
        <v>1</v>
      </c>
      <c r="D20" s="9">
        <f>Table5[[#This Row],[SAR_wholebody (mW/kg)]]*10^3/Table5[[#This Row],[Input Power (mW)]]</f>
        <v>2.2503895265210661</v>
      </c>
      <c r="E20" s="9">
        <f>Table5[[#This Row],[SAR_head (mW/kg)]]*10^3/Table5[[#This Row],[Input Power (mW)]]</f>
        <v>0.75473372097491598</v>
      </c>
      <c r="F20" s="9">
        <f>Table5[[#This Row],[SAR_trunk (mW/kg)]]*10^3/Table5[[#This Row],[Input Power (mW)]]</f>
        <v>2.7299099876514243</v>
      </c>
      <c r="G20" s="9">
        <f>Table5[[#This Row],[psSAR10g_eyes (mW/kg)]]*10^3/Table5[[#This Row],[Input Power (mW)]]</f>
        <v>6.9146071327097065</v>
      </c>
      <c r="H20" s="9">
        <f>Table5[[#This Row],[psSAR10g_skin (mW/kg)]]*10^3/Table5[[#This Row],[Input Power (mW)]]</f>
        <v>30.255005421978776</v>
      </c>
      <c r="I20" s="9">
        <f>Table5[[#This Row],[psSAR10g_brain (mW/kg)]]*10^3/Table5[[#This Row],[Input Power (mW)]]</f>
        <v>3.5994640841725754</v>
      </c>
      <c r="J20" s="9">
        <f>Table5[[#This Row],[SAR_brain (mW/kg)]]*10^3/Table5[[#This Row],[Input Power (mW)]]</f>
        <v>0.5911816560598131</v>
      </c>
    </row>
    <row r="21" spans="1:10" ht="15.75" customHeight="1" x14ac:dyDescent="0.35">
      <c r="A21" s="4">
        <v>1450</v>
      </c>
      <c r="B21" s="4" t="s">
        <v>21</v>
      </c>
      <c r="C21" s="4">
        <v>1</v>
      </c>
      <c r="D21" s="8">
        <f>Table5[[#This Row],[SAR_wholebody (mW/kg)]]*10^3/Table5[[#This Row],[Input Power (mW)]]</f>
        <v>2.7668560796403119</v>
      </c>
      <c r="E21" s="8">
        <f>Table5[[#This Row],[SAR_head (mW/kg)]]*10^3/Table5[[#This Row],[Input Power (mW)]]</f>
        <v>0.69660481302746691</v>
      </c>
      <c r="F21" s="8">
        <f>Table5[[#This Row],[SAR_trunk (mW/kg)]]*10^3/Table5[[#This Row],[Input Power (mW)]]</f>
        <v>3.6476964656810473</v>
      </c>
      <c r="G21" s="8">
        <f>Table5[[#This Row],[psSAR10g_eyes (mW/kg)]]*10^3/Table5[[#This Row],[Input Power (mW)]]</f>
        <v>6.3483513964259144</v>
      </c>
      <c r="H21" s="8">
        <f>Table5[[#This Row],[psSAR10g_skin (mW/kg)]]*10^3/Table5[[#This Row],[Input Power (mW)]]</f>
        <v>35.580774948119625</v>
      </c>
      <c r="I21" s="8">
        <f>Table5[[#This Row],[psSAR10g_brain (mW/kg)]]*10^3/Table5[[#This Row],[Input Power (mW)]]</f>
        <v>3.2899862969575189</v>
      </c>
      <c r="J21" s="8">
        <f>Table5[[#This Row],[SAR_brain (mW/kg)]]*10^3/Table5[[#This Row],[Input Power (mW)]]</f>
        <v>0.52439389496526789</v>
      </c>
    </row>
    <row r="22" spans="1:10" ht="15.75" customHeight="1" x14ac:dyDescent="0.35">
      <c r="A22" s="5">
        <v>1450</v>
      </c>
      <c r="B22" s="5" t="s">
        <v>22</v>
      </c>
      <c r="C22" s="5">
        <v>1</v>
      </c>
      <c r="D22" s="9">
        <f>Table5[[#This Row],[SAR_wholebody (mW/kg)]]*10^3/Table5[[#This Row],[Input Power (mW)]]</f>
        <v>2.9457397131561418</v>
      </c>
      <c r="E22" s="9">
        <f>Table5[[#This Row],[SAR_head (mW/kg)]]*10^3/Table5[[#This Row],[Input Power (mW)]]</f>
        <v>1.1227637541866793</v>
      </c>
      <c r="F22" s="9">
        <f>Table5[[#This Row],[SAR_trunk (mW/kg)]]*10^3/Table5[[#This Row],[Input Power (mW)]]</f>
        <v>4.1675659228019057</v>
      </c>
      <c r="G22" s="9">
        <f>Table5[[#This Row],[psSAR10g_eyes (mW/kg)]]*10^3/Table5[[#This Row],[Input Power (mW)]]</f>
        <v>8.90590706475699</v>
      </c>
      <c r="H22" s="9">
        <f>Table5[[#This Row],[psSAR10g_skin (mW/kg)]]*10^3/Table5[[#This Row],[Input Power (mW)]]</f>
        <v>47.204973991664716</v>
      </c>
      <c r="I22" s="9">
        <f>Table5[[#This Row],[psSAR10g_brain (mW/kg)]]*10^3/Table5[[#This Row],[Input Power (mW)]]</f>
        <v>5.0237993165147925</v>
      </c>
      <c r="J22" s="9">
        <f>Table5[[#This Row],[SAR_brain (mW/kg)]]*10^3/Table5[[#This Row],[Input Power (mW)]]</f>
        <v>0.78923771969325041</v>
      </c>
    </row>
    <row r="23" spans="1:10" ht="15.75" customHeight="1" x14ac:dyDescent="0.35">
      <c r="A23" s="4">
        <v>1450</v>
      </c>
      <c r="B23" s="4" t="s">
        <v>23</v>
      </c>
      <c r="C23" s="4">
        <v>1</v>
      </c>
      <c r="D23" s="8">
        <f>Table5[[#This Row],[SAR_wholebody (mW/kg)]]*10^3/Table5[[#This Row],[Input Power (mW)]]</f>
        <v>3.4327459880579432</v>
      </c>
      <c r="E23" s="8">
        <f>Table5[[#This Row],[SAR_head (mW/kg)]]*10^3/Table5[[#This Row],[Input Power (mW)]]</f>
        <v>0.90914110401879999</v>
      </c>
      <c r="F23" s="8">
        <f>Table5[[#This Row],[SAR_trunk (mW/kg)]]*10^3/Table5[[#This Row],[Input Power (mW)]]</f>
        <v>4.2849361593658015</v>
      </c>
      <c r="G23" s="8">
        <f>Table5[[#This Row],[psSAR10g_eyes (mW/kg)]]*10^3/Table5[[#This Row],[Input Power (mW)]]</f>
        <v>9.5252550815039623</v>
      </c>
      <c r="H23" s="8">
        <f>Table5[[#This Row],[psSAR10g_skin (mW/kg)]]*10^3/Table5[[#This Row],[Input Power (mW)]]</f>
        <v>43.44990961950792</v>
      </c>
      <c r="I23" s="8">
        <f>Table5[[#This Row],[psSAR10g_brain (mW/kg)]]*10^3/Table5[[#This Row],[Input Power (mW)]]</f>
        <v>4.6762134084210665</v>
      </c>
      <c r="J23" s="8">
        <f>Table5[[#This Row],[SAR_brain (mW/kg)]]*10^3/Table5[[#This Row],[Input Power (mW)]]</f>
        <v>0.59387122846293294</v>
      </c>
    </row>
    <row r="24" spans="1:10" ht="15.75" customHeight="1" x14ac:dyDescent="0.35">
      <c r="A24" s="5">
        <v>1450</v>
      </c>
      <c r="B24" s="5" t="s">
        <v>24</v>
      </c>
      <c r="C24" s="5">
        <v>1</v>
      </c>
      <c r="D24" s="9">
        <f>Table5[[#This Row],[SAR_wholebody (mW/kg)]]*10^3/Table5[[#This Row],[Input Power (mW)]]</f>
        <v>2.6839464941672455</v>
      </c>
      <c r="E24" s="9">
        <f>Table5[[#This Row],[SAR_head (mW/kg)]]*10^3/Table5[[#This Row],[Input Power (mW)]]</f>
        <v>1.3411529283707075</v>
      </c>
      <c r="F24" s="9">
        <f>Table5[[#This Row],[SAR_trunk (mW/kg)]]*10^3/Table5[[#This Row],[Input Power (mW)]]</f>
        <v>3.9053428803753683</v>
      </c>
      <c r="G24" s="9">
        <f>Table5[[#This Row],[psSAR10g_eyes (mW/kg)]]*10^3/Table5[[#This Row],[Input Power (mW)]]</f>
        <v>9.8871210037617931</v>
      </c>
      <c r="H24" s="9">
        <f>Table5[[#This Row],[psSAR10g_skin (mW/kg)]]*10^3/Table5[[#This Row],[Input Power (mW)]]</f>
        <v>36.96311770799538</v>
      </c>
      <c r="I24" s="9">
        <f>Table5[[#This Row],[psSAR10g_brain (mW/kg)]]*10^3/Table5[[#This Row],[Input Power (mW)]]</f>
        <v>5.2846181102432448</v>
      </c>
      <c r="J24" s="9">
        <f>Table5[[#This Row],[SAR_brain (mW/kg)]]*10^3/Table5[[#This Row],[Input Power (mW)]]</f>
        <v>1.0598502680320754</v>
      </c>
    </row>
    <row r="25" spans="1:10" ht="15.75" customHeight="1" thickBot="1" x14ac:dyDescent="0.4">
      <c r="A25" s="6">
        <v>1450</v>
      </c>
      <c r="B25" s="6" t="s">
        <v>25</v>
      </c>
      <c r="C25" s="6">
        <v>1</v>
      </c>
      <c r="D25" s="10">
        <f>Table5[[#This Row],[SAR_wholebody (mW/kg)]]*10^3/Table5[[#This Row],[Input Power (mW)]]</f>
        <v>3.4835703143568209</v>
      </c>
      <c r="E25" s="10">
        <f>Table5[[#This Row],[SAR_head (mW/kg)]]*10^3/Table5[[#This Row],[Input Power (mW)]]</f>
        <v>1.8975989321619717</v>
      </c>
      <c r="F25" s="10">
        <f>Table5[[#This Row],[SAR_trunk (mW/kg)]]*10^3/Table5[[#This Row],[Input Power (mW)]]</f>
        <v>4.9779379349207353</v>
      </c>
      <c r="G25" s="10">
        <f>Table5[[#This Row],[psSAR10g_eyes (mW/kg)]]*10^3/Table5[[#This Row],[Input Power (mW)]]</f>
        <v>12.828107769961981</v>
      </c>
      <c r="H25" s="10">
        <f>Table5[[#This Row],[psSAR10g_skin (mW/kg)]]*10^3/Table5[[#This Row],[Input Power (mW)]]</f>
        <v>36.992642372123491</v>
      </c>
      <c r="I25" s="10">
        <f>Table5[[#This Row],[psSAR10g_brain (mW/kg)]]*10^3/Table5[[#This Row],[Input Power (mW)]]</f>
        <v>6.8021863637028863</v>
      </c>
      <c r="J25" s="10">
        <f>Table5[[#This Row],[SAR_brain (mW/kg)]]*10^3/Table5[[#This Row],[Input Power (mW)]]</f>
        <v>1.2774408561943398</v>
      </c>
    </row>
    <row r="26" spans="1:10" ht="15.75" customHeight="1" x14ac:dyDescent="0.35">
      <c r="A26" s="3">
        <v>2140</v>
      </c>
      <c r="B26" s="3" t="s">
        <v>18</v>
      </c>
      <c r="C26" s="3">
        <v>1</v>
      </c>
      <c r="D26" s="7">
        <f>Table5[[#This Row],[SAR_wholebody (mW/kg)]]*10^3/Table5[[#This Row],[Input Power (mW)]]</f>
        <v>3.6325260003025894</v>
      </c>
      <c r="E26" s="7">
        <f>Table5[[#This Row],[SAR_head (mW/kg)]]*10^3/Table5[[#This Row],[Input Power (mW)]]</f>
        <v>0.95592293646580262</v>
      </c>
      <c r="F26" s="7">
        <f>Table5[[#This Row],[SAR_trunk (mW/kg)]]*10^3/Table5[[#This Row],[Input Power (mW)]]</f>
        <v>4.1712171283676032</v>
      </c>
      <c r="G26" s="7">
        <f>Table5[[#This Row],[psSAR10g_eyes (mW/kg)]]*10^3/Table5[[#This Row],[Input Power (mW)]]</f>
        <v>5.9301646313913849</v>
      </c>
      <c r="H26" s="7">
        <f>Table5[[#This Row],[psSAR10g_skin (mW/kg)]]*10^3/Table5[[#This Row],[Input Power (mW)]]</f>
        <v>75.941376463228337</v>
      </c>
      <c r="I26" s="7">
        <f>Table5[[#This Row],[psSAR10g_brain (mW/kg)]]*10^3/Table5[[#This Row],[Input Power (mW)]]</f>
        <v>3.5244718693112307</v>
      </c>
      <c r="J26" s="7">
        <f>Table5[[#This Row],[SAR_brain (mW/kg)]]*10^3/Table5[[#This Row],[Input Power (mW)]]</f>
        <v>0.41480427837990075</v>
      </c>
    </row>
    <row r="27" spans="1:10" ht="15.75" customHeight="1" x14ac:dyDescent="0.35">
      <c r="A27" s="4">
        <v>2140</v>
      </c>
      <c r="B27" s="4" t="s">
        <v>19</v>
      </c>
      <c r="C27" s="4">
        <v>1</v>
      </c>
      <c r="D27" s="8">
        <f>Table5[[#This Row],[SAR_wholebody (mW/kg)]]*10^3/Table5[[#This Row],[Input Power (mW)]]</f>
        <v>4.5166968709972952</v>
      </c>
      <c r="E27" s="8">
        <f>Table5[[#This Row],[SAR_head (mW/kg)]]*10^3/Table5[[#This Row],[Input Power (mW)]]</f>
        <v>1.6157166186986538</v>
      </c>
      <c r="F27" s="8">
        <f>Table5[[#This Row],[SAR_trunk (mW/kg)]]*10^3/Table5[[#This Row],[Input Power (mW)]]</f>
        <v>4.7219164362378976</v>
      </c>
      <c r="G27" s="8">
        <f>Table5[[#This Row],[psSAR10g_eyes (mW/kg)]]*10^3/Table5[[#This Row],[Input Power (mW)]]</f>
        <v>12.668675024066641</v>
      </c>
      <c r="H27" s="8">
        <f>Table5[[#This Row],[psSAR10g_skin (mW/kg)]]*10^3/Table5[[#This Row],[Input Power (mW)]]</f>
        <v>60.953291385044487</v>
      </c>
      <c r="I27" s="8">
        <f>Table5[[#This Row],[psSAR10g_brain (mW/kg)]]*10^3/Table5[[#This Row],[Input Power (mW)]]</f>
        <v>8.5930605421920916</v>
      </c>
      <c r="J27" s="8">
        <f>Table5[[#This Row],[SAR_brain (mW/kg)]]*10^3/Table5[[#This Row],[Input Power (mW)]]</f>
        <v>0.86872193732191583</v>
      </c>
    </row>
    <row r="28" spans="1:10" ht="15.75" customHeight="1" x14ac:dyDescent="0.35">
      <c r="A28" s="5">
        <v>2140</v>
      </c>
      <c r="B28" s="5" t="s">
        <v>20</v>
      </c>
      <c r="C28" s="5">
        <v>1</v>
      </c>
      <c r="D28" s="9">
        <f>Table5[[#This Row],[SAR_wholebody (mW/kg)]]*10^3/Table5[[#This Row],[Input Power (mW)]]</f>
        <v>3.1844131168349614</v>
      </c>
      <c r="E28" s="9">
        <f>Table5[[#This Row],[SAR_head (mW/kg)]]*10^3/Table5[[#This Row],[Input Power (mW)]]</f>
        <v>0.74545488250144365</v>
      </c>
      <c r="F28" s="9">
        <f>Table5[[#This Row],[SAR_trunk (mW/kg)]]*10^3/Table5[[#This Row],[Input Power (mW)]]</f>
        <v>3.2569257789722181</v>
      </c>
      <c r="G28" s="9">
        <f>Table5[[#This Row],[psSAR10g_eyes (mW/kg)]]*10^3/Table5[[#This Row],[Input Power (mW)]]</f>
        <v>5.6680208155092817</v>
      </c>
      <c r="H28" s="9">
        <f>Table5[[#This Row],[psSAR10g_skin (mW/kg)]]*10^3/Table5[[#This Row],[Input Power (mW)]]</f>
        <v>83.606788473560528</v>
      </c>
      <c r="I28" s="9">
        <f>Table5[[#This Row],[psSAR10g_brain (mW/kg)]]*10^3/Table5[[#This Row],[Input Power (mW)]]</f>
        <v>3.5051605730983462</v>
      </c>
      <c r="J28" s="9">
        <f>Table5[[#This Row],[SAR_brain (mW/kg)]]*10^3/Table5[[#This Row],[Input Power (mW)]]</f>
        <v>0.32271820283821445</v>
      </c>
    </row>
    <row r="29" spans="1:10" ht="15.75" customHeight="1" x14ac:dyDescent="0.35">
      <c r="A29" s="4">
        <v>2140</v>
      </c>
      <c r="B29" s="4" t="s">
        <v>21</v>
      </c>
      <c r="C29" s="4">
        <v>1</v>
      </c>
      <c r="D29" s="8">
        <f>Table5[[#This Row],[SAR_wholebody (mW/kg)]]*10^3/Table5[[#This Row],[Input Power (mW)]]</f>
        <v>4.2404145710765127</v>
      </c>
      <c r="E29" s="8">
        <f>Table5[[#This Row],[SAR_head (mW/kg)]]*10^3/Table5[[#This Row],[Input Power (mW)]]</f>
        <v>1.0967498187115872</v>
      </c>
      <c r="F29" s="8">
        <f>Table5[[#This Row],[SAR_trunk (mW/kg)]]*10^3/Table5[[#This Row],[Input Power (mW)]]</f>
        <v>4.2813322397025644</v>
      </c>
      <c r="G29" s="8">
        <f>Table5[[#This Row],[psSAR10g_eyes (mW/kg)]]*10^3/Table5[[#This Row],[Input Power (mW)]]</f>
        <v>12.984735308637564</v>
      </c>
      <c r="H29" s="8">
        <f>Table5[[#This Row],[psSAR10g_skin (mW/kg)]]*10^3/Table5[[#This Row],[Input Power (mW)]]</f>
        <v>70.982038439039357</v>
      </c>
      <c r="I29" s="8">
        <f>Table5[[#This Row],[psSAR10g_brain (mW/kg)]]*10^3/Table5[[#This Row],[Input Power (mW)]]</f>
        <v>9.2395233934201144</v>
      </c>
      <c r="J29" s="8">
        <f>Table5[[#This Row],[SAR_brain (mW/kg)]]*10^3/Table5[[#This Row],[Input Power (mW)]]</f>
        <v>0.70152509273152841</v>
      </c>
    </row>
    <row r="30" spans="1:10" ht="15.75" customHeight="1" x14ac:dyDescent="0.35">
      <c r="A30" s="5">
        <v>2140</v>
      </c>
      <c r="B30" s="5" t="s">
        <v>22</v>
      </c>
      <c r="C30" s="5">
        <v>1</v>
      </c>
      <c r="D30" s="9">
        <f>Table5[[#This Row],[SAR_wholebody (mW/kg)]]*10^3/Table5[[#This Row],[Input Power (mW)]]</f>
        <v>3.836034312478116</v>
      </c>
      <c r="E30" s="9">
        <f>Table5[[#This Row],[SAR_head (mW/kg)]]*10^3/Table5[[#This Row],[Input Power (mW)]]</f>
        <v>0.86309473231283584</v>
      </c>
      <c r="F30" s="9">
        <f>Table5[[#This Row],[SAR_trunk (mW/kg)]]*10^3/Table5[[#This Row],[Input Power (mW)]]</f>
        <v>4.4802729288730383</v>
      </c>
      <c r="G30" s="9">
        <f>Table5[[#This Row],[psSAR10g_eyes (mW/kg)]]*10^3/Table5[[#This Row],[Input Power (mW)]]</f>
        <v>3.2539224017326922</v>
      </c>
      <c r="H30" s="9">
        <f>Table5[[#This Row],[psSAR10g_skin (mW/kg)]]*10^3/Table5[[#This Row],[Input Power (mW)]]</f>
        <v>88.288272268473719</v>
      </c>
      <c r="I30" s="9">
        <f>Table5[[#This Row],[psSAR10g_brain (mW/kg)]]*10^3/Table5[[#This Row],[Input Power (mW)]]</f>
        <v>2.6134666398013331</v>
      </c>
      <c r="J30" s="9">
        <f>Table5[[#This Row],[SAR_brain (mW/kg)]]*10^3/Table5[[#This Row],[Input Power (mW)]]</f>
        <v>0.29578012384052493</v>
      </c>
    </row>
    <row r="31" spans="1:10" ht="15.75" customHeight="1" x14ac:dyDescent="0.35">
      <c r="A31" s="4">
        <v>2140</v>
      </c>
      <c r="B31" s="4" t="s">
        <v>23</v>
      </c>
      <c r="C31" s="4">
        <v>1</v>
      </c>
      <c r="D31" s="8">
        <f>Table5[[#This Row],[SAR_wholebody (mW/kg)]]*10^3/Table5[[#This Row],[Input Power (mW)]]</f>
        <v>3.7441258065244361</v>
      </c>
      <c r="E31" s="8">
        <f>Table5[[#This Row],[SAR_head (mW/kg)]]*10^3/Table5[[#This Row],[Input Power (mW)]]</f>
        <v>1.210609649213364</v>
      </c>
      <c r="F31" s="8">
        <f>Table5[[#This Row],[SAR_trunk (mW/kg)]]*10^3/Table5[[#This Row],[Input Power (mW)]]</f>
        <v>3.9101299711796278</v>
      </c>
      <c r="G31" s="8">
        <f>Table5[[#This Row],[psSAR10g_eyes (mW/kg)]]*10^3/Table5[[#This Row],[Input Power (mW)]]</f>
        <v>10.833940667710729</v>
      </c>
      <c r="H31" s="8">
        <f>Table5[[#This Row],[psSAR10g_skin (mW/kg)]]*10^3/Table5[[#This Row],[Input Power (mW)]]</f>
        <v>72.241094424028972</v>
      </c>
      <c r="I31" s="8">
        <f>Table5[[#This Row],[psSAR10g_brain (mW/kg)]]*10^3/Table5[[#This Row],[Input Power (mW)]]</f>
        <v>6.7934256950466416</v>
      </c>
      <c r="J31" s="8">
        <f>Table5[[#This Row],[SAR_brain (mW/kg)]]*10^3/Table5[[#This Row],[Input Power (mW)]]</f>
        <v>0.65320344065472635</v>
      </c>
    </row>
    <row r="32" spans="1:10" ht="15.75" customHeight="1" x14ac:dyDescent="0.35">
      <c r="A32" s="5">
        <v>2140</v>
      </c>
      <c r="B32" s="5" t="s">
        <v>24</v>
      </c>
      <c r="C32" s="5">
        <v>1</v>
      </c>
      <c r="D32" s="9">
        <f>Table5[[#This Row],[SAR_wholebody (mW/kg)]]*10^3/Table5[[#This Row],[Input Power (mW)]]</f>
        <v>3.5427669301166542</v>
      </c>
      <c r="E32" s="9">
        <f>Table5[[#This Row],[SAR_head (mW/kg)]]*10^3/Table5[[#This Row],[Input Power (mW)]]</f>
        <v>1.0582840274163154</v>
      </c>
      <c r="F32" s="9">
        <f>Table5[[#This Row],[SAR_trunk (mW/kg)]]*10^3/Table5[[#This Row],[Input Power (mW)]]</f>
        <v>4.2679798221651408</v>
      </c>
      <c r="G32" s="9">
        <f>Table5[[#This Row],[psSAR10g_eyes (mW/kg)]]*10^3/Table5[[#This Row],[Input Power (mW)]]</f>
        <v>8.142873740925614</v>
      </c>
      <c r="H32" s="9">
        <f>Table5[[#This Row],[psSAR10g_skin (mW/kg)]]*10^3/Table5[[#This Row],[Input Power (mW)]]</f>
        <v>74.573705771398338</v>
      </c>
      <c r="I32" s="9">
        <f>Table5[[#This Row],[psSAR10g_brain (mW/kg)]]*10^3/Table5[[#This Row],[Input Power (mW)]]</f>
        <v>5.1587834617999873</v>
      </c>
      <c r="J32" s="9">
        <f>Table5[[#This Row],[SAR_brain (mW/kg)]]*10^3/Table5[[#This Row],[Input Power (mW)]]</f>
        <v>0.60325567460594998</v>
      </c>
    </row>
    <row r="33" spans="1:10" ht="15.75" customHeight="1" thickBot="1" x14ac:dyDescent="0.4">
      <c r="A33" s="6">
        <v>2140</v>
      </c>
      <c r="B33" s="6" t="s">
        <v>25</v>
      </c>
      <c r="C33" s="6">
        <v>1</v>
      </c>
      <c r="D33" s="10">
        <f>Table5[[#This Row],[SAR_wholebody (mW/kg)]]*10^3/Table5[[#This Row],[Input Power (mW)]]</f>
        <v>4.5411699583234997</v>
      </c>
      <c r="E33" s="10">
        <f>Table5[[#This Row],[SAR_head (mW/kg)]]*10^3/Table5[[#This Row],[Input Power (mW)]]</f>
        <v>2.4316530851936795</v>
      </c>
      <c r="F33" s="10">
        <f>Table5[[#This Row],[SAR_trunk (mW/kg)]]*10^3/Table5[[#This Row],[Input Power (mW)]]</f>
        <v>5.7539704858991927</v>
      </c>
      <c r="G33" s="10">
        <f>Table5[[#This Row],[psSAR10g_eyes (mW/kg)]]*10^3/Table5[[#This Row],[Input Power (mW)]]</f>
        <v>16.621517584589103</v>
      </c>
      <c r="H33" s="10">
        <f>Table5[[#This Row],[psSAR10g_skin (mW/kg)]]*10^3/Table5[[#This Row],[Input Power (mW)]]</f>
        <v>68.165663244649608</v>
      </c>
      <c r="I33" s="10">
        <f>Table5[[#This Row],[psSAR10g_brain (mW/kg)]]*10^3/Table5[[#This Row],[Input Power (mW)]]</f>
        <v>11.571191957826615</v>
      </c>
      <c r="J33" s="10">
        <f>Table5[[#This Row],[SAR_brain (mW/kg)]]*10^3/Table5[[#This Row],[Input Power (mW)]]</f>
        <v>1.3348333217576924</v>
      </c>
    </row>
    <row r="34" spans="1:10" ht="15.75" customHeight="1" x14ac:dyDescent="0.35">
      <c r="A34" s="3">
        <v>2450</v>
      </c>
      <c r="B34" s="3" t="s">
        <v>18</v>
      </c>
      <c r="C34" s="3">
        <v>1</v>
      </c>
      <c r="D34" s="7">
        <f>Table5[[#This Row],[SAR_wholebody (mW/kg)]]*10^3/Table5[[#This Row],[Input Power (mW)]]</f>
        <v>3.6758305361621217</v>
      </c>
      <c r="E34" s="7">
        <f>Table5[[#This Row],[SAR_head (mW/kg)]]*10^3/Table5[[#This Row],[Input Power (mW)]]</f>
        <v>0.82112450118871072</v>
      </c>
      <c r="F34" s="7">
        <f>Table5[[#This Row],[SAR_trunk (mW/kg)]]*10^3/Table5[[#This Row],[Input Power (mW)]]</f>
        <v>3.9271732048731209</v>
      </c>
      <c r="G34" s="7">
        <f>Table5[[#This Row],[psSAR10g_eyes (mW/kg)]]*10^3/Table5[[#This Row],[Input Power (mW)]]</f>
        <v>6.1098468507936623</v>
      </c>
      <c r="H34" s="7">
        <f>Table5[[#This Row],[psSAR10g_skin (mW/kg)]]*10^3/Table5[[#This Row],[Input Power (mW)]]</f>
        <v>71.347410860794184</v>
      </c>
      <c r="I34" s="7">
        <f>Table5[[#This Row],[psSAR10g_brain (mW/kg)]]*10^3/Table5[[#This Row],[Input Power (mW)]]</f>
        <v>3.6938642407010676</v>
      </c>
      <c r="J34" s="7">
        <f>Table5[[#This Row],[SAR_brain (mW/kg)]]*10^3/Table5[[#This Row],[Input Power (mW)]]</f>
        <v>0.37020621906960866</v>
      </c>
    </row>
    <row r="35" spans="1:10" ht="15.75" customHeight="1" x14ac:dyDescent="0.35">
      <c r="A35" s="4">
        <v>2450</v>
      </c>
      <c r="B35" s="4" t="s">
        <v>19</v>
      </c>
      <c r="C35" s="4">
        <v>1</v>
      </c>
      <c r="D35" s="8">
        <f>Table5[[#This Row],[SAR_wholebody (mW/kg)]]*10^3/Table5[[#This Row],[Input Power (mW)]]</f>
        <v>4.9414042152571076</v>
      </c>
      <c r="E35" s="8">
        <f>Table5[[#This Row],[SAR_head (mW/kg)]]*10^3/Table5[[#This Row],[Input Power (mW)]]</f>
        <v>1.1632264169305622</v>
      </c>
      <c r="F35" s="8">
        <f>Table5[[#This Row],[SAR_trunk (mW/kg)]]*10^3/Table5[[#This Row],[Input Power (mW)]]</f>
        <v>5.347230707985946</v>
      </c>
      <c r="G35" s="8">
        <f>Table5[[#This Row],[psSAR10g_eyes (mW/kg)]]*10^3/Table5[[#This Row],[Input Power (mW)]]</f>
        <v>10.757197522408985</v>
      </c>
      <c r="H35" s="8">
        <f>Table5[[#This Row],[psSAR10g_skin (mW/kg)]]*10^3/Table5[[#This Row],[Input Power (mW)]]</f>
        <v>69.763036035824598</v>
      </c>
      <c r="I35" s="8">
        <f>Table5[[#This Row],[psSAR10g_brain (mW/kg)]]*10^3/Table5[[#This Row],[Input Power (mW)]]</f>
        <v>7.0653614447451076</v>
      </c>
      <c r="J35" s="8">
        <f>Table5[[#This Row],[SAR_brain (mW/kg)]]*10^3/Table5[[#This Row],[Input Power (mW)]]</f>
        <v>0.54272552339453928</v>
      </c>
    </row>
    <row r="36" spans="1:10" ht="15.75" customHeight="1" x14ac:dyDescent="0.35">
      <c r="A36" s="5">
        <v>2450</v>
      </c>
      <c r="B36" s="5" t="s">
        <v>20</v>
      </c>
      <c r="C36" s="5">
        <v>1</v>
      </c>
      <c r="D36" s="9">
        <f>Table5[[#This Row],[SAR_wholebody (mW/kg)]]*10^3/Table5[[#This Row],[Input Power (mW)]]</f>
        <v>2.9526133736704865</v>
      </c>
      <c r="E36" s="9">
        <f>Table5[[#This Row],[SAR_head (mW/kg)]]*10^3/Table5[[#This Row],[Input Power (mW)]]</f>
        <v>0.74504434945595399</v>
      </c>
      <c r="F36" s="9">
        <f>Table5[[#This Row],[SAR_trunk (mW/kg)]]*10^3/Table5[[#This Row],[Input Power (mW)]]</f>
        <v>3.1068896191749191</v>
      </c>
      <c r="G36" s="9">
        <f>Table5[[#This Row],[psSAR10g_eyes (mW/kg)]]*10^3/Table5[[#This Row],[Input Power (mW)]]</f>
        <v>6.3442098610491628</v>
      </c>
      <c r="H36" s="9">
        <f>Table5[[#This Row],[psSAR10g_skin (mW/kg)]]*10^3/Table5[[#This Row],[Input Power (mW)]]</f>
        <v>73.253499107803918</v>
      </c>
      <c r="I36" s="9">
        <f>Table5[[#This Row],[psSAR10g_brain (mW/kg)]]*10^3/Table5[[#This Row],[Input Power (mW)]]</f>
        <v>4.6879895498806352</v>
      </c>
      <c r="J36" s="9">
        <f>Table5[[#This Row],[SAR_brain (mW/kg)]]*10^3/Table5[[#This Row],[Input Power (mW)]]</f>
        <v>0.35271032655182882</v>
      </c>
    </row>
    <row r="37" spans="1:10" ht="15.75" customHeight="1" x14ac:dyDescent="0.35">
      <c r="A37" s="4">
        <v>2450</v>
      </c>
      <c r="B37" s="4" t="s">
        <v>21</v>
      </c>
      <c r="C37" s="4">
        <v>1</v>
      </c>
      <c r="D37" s="8">
        <f>Table5[[#This Row],[SAR_wholebody (mW/kg)]]*10^3/Table5[[#This Row],[Input Power (mW)]]</f>
        <v>4.0904246213505804</v>
      </c>
      <c r="E37" s="8">
        <f>Table5[[#This Row],[SAR_head (mW/kg)]]*10^3/Table5[[#This Row],[Input Power (mW)]]</f>
        <v>0.83975081350048653</v>
      </c>
      <c r="F37" s="8">
        <f>Table5[[#This Row],[SAR_trunk (mW/kg)]]*10^3/Table5[[#This Row],[Input Power (mW)]]</f>
        <v>4.2495765851310274</v>
      </c>
      <c r="G37" s="8">
        <f>Table5[[#This Row],[psSAR10g_eyes (mW/kg)]]*10^3/Table5[[#This Row],[Input Power (mW)]]</f>
        <v>9.3573047629195667</v>
      </c>
      <c r="H37" s="8">
        <f>Table5[[#This Row],[psSAR10g_skin (mW/kg)]]*10^3/Table5[[#This Row],[Input Power (mW)]]</f>
        <v>87.299679461057977</v>
      </c>
      <c r="I37" s="8">
        <f>Table5[[#This Row],[psSAR10g_brain (mW/kg)]]*10^3/Table5[[#This Row],[Input Power (mW)]]</f>
        <v>6.9984482190454331</v>
      </c>
      <c r="J37" s="8">
        <f>Table5[[#This Row],[SAR_brain (mW/kg)]]*10^3/Table5[[#This Row],[Input Power (mW)]]</f>
        <v>0.43234554893921506</v>
      </c>
    </row>
    <row r="38" spans="1:10" ht="15.75" customHeight="1" x14ac:dyDescent="0.35">
      <c r="A38" s="5">
        <v>2450</v>
      </c>
      <c r="B38" s="5" t="s">
        <v>22</v>
      </c>
      <c r="C38" s="5">
        <v>1</v>
      </c>
      <c r="D38" s="9">
        <f>Table5[[#This Row],[SAR_wholebody (mW/kg)]]*10^3/Table5[[#This Row],[Input Power (mW)]]</f>
        <v>3.3688736857967974</v>
      </c>
      <c r="E38" s="9">
        <f>Table5[[#This Row],[SAR_head (mW/kg)]]*10^3/Table5[[#This Row],[Input Power (mW)]]</f>
        <v>0.68501989847561617</v>
      </c>
      <c r="F38" s="9">
        <f>Table5[[#This Row],[SAR_trunk (mW/kg)]]*10^3/Table5[[#This Row],[Input Power (mW)]]</f>
        <v>3.7037874485757567</v>
      </c>
      <c r="G38" s="9">
        <f>Table5[[#This Row],[psSAR10g_eyes (mW/kg)]]*10^3/Table5[[#This Row],[Input Power (mW)]]</f>
        <v>3.9992486149681215</v>
      </c>
      <c r="H38" s="9">
        <f>Table5[[#This Row],[psSAR10g_skin (mW/kg)]]*10^3/Table5[[#This Row],[Input Power (mW)]]</f>
        <v>65.073352200938643</v>
      </c>
      <c r="I38" s="9">
        <f>Table5[[#This Row],[psSAR10g_brain (mW/kg)]]*10^3/Table5[[#This Row],[Input Power (mW)]]</f>
        <v>3.3936613718149324</v>
      </c>
      <c r="J38" s="9">
        <f>Table5[[#This Row],[SAR_brain (mW/kg)]]*10^3/Table5[[#This Row],[Input Power (mW)]]</f>
        <v>0.25913139284076447</v>
      </c>
    </row>
    <row r="39" spans="1:10" ht="15.75" customHeight="1" x14ac:dyDescent="0.35">
      <c r="A39" s="4">
        <v>2450</v>
      </c>
      <c r="B39" s="4" t="s">
        <v>23</v>
      </c>
      <c r="C39" s="4">
        <v>1</v>
      </c>
      <c r="D39" s="8">
        <f>Table5[[#This Row],[SAR_wholebody (mW/kg)]]*10^3/Table5[[#This Row],[Input Power (mW)]]</f>
        <v>3.861814050101581</v>
      </c>
      <c r="E39" s="8">
        <f>Table5[[#This Row],[SAR_head (mW/kg)]]*10^3/Table5[[#This Row],[Input Power (mW)]]</f>
        <v>1.1910474939212214</v>
      </c>
      <c r="F39" s="8">
        <f>Table5[[#This Row],[SAR_trunk (mW/kg)]]*10^3/Table5[[#This Row],[Input Power (mW)]]</f>
        <v>3.932077844444108</v>
      </c>
      <c r="G39" s="8">
        <f>Table5[[#This Row],[psSAR10g_eyes (mW/kg)]]*10^3/Table5[[#This Row],[Input Power (mW)]]</f>
        <v>9.6497108075044871</v>
      </c>
      <c r="H39" s="8">
        <f>Table5[[#This Row],[psSAR10g_skin (mW/kg)]]*10^3/Table5[[#This Row],[Input Power (mW)]]</f>
        <v>73.702841502030282</v>
      </c>
      <c r="I39" s="8">
        <f>Table5[[#This Row],[psSAR10g_brain (mW/kg)]]*10^3/Table5[[#This Row],[Input Power (mW)]]</f>
        <v>6.3329282062217969</v>
      </c>
      <c r="J39" s="8">
        <f>Table5[[#This Row],[SAR_brain (mW/kg)]]*10^3/Table5[[#This Row],[Input Power (mW)]]</f>
        <v>0.51195310251115667</v>
      </c>
    </row>
    <row r="40" spans="1:10" ht="15.75" customHeight="1" x14ac:dyDescent="0.35">
      <c r="A40" s="5">
        <v>2450</v>
      </c>
      <c r="B40" s="5" t="s">
        <v>24</v>
      </c>
      <c r="C40" s="5">
        <v>1</v>
      </c>
      <c r="D40" s="9">
        <f>Table5[[#This Row],[SAR_wholebody (mW/kg)]]*10^3/Table5[[#This Row],[Input Power (mW)]]</f>
        <v>3.7494829158900544</v>
      </c>
      <c r="E40" s="9">
        <f>Table5[[#This Row],[SAR_head (mW/kg)]]*10^3/Table5[[#This Row],[Input Power (mW)]]</f>
        <v>1.0554568531649529</v>
      </c>
      <c r="F40" s="9">
        <f>Table5[[#This Row],[SAR_trunk (mW/kg)]]*10^3/Table5[[#This Row],[Input Power (mW)]]</f>
        <v>4.5514312295647299</v>
      </c>
      <c r="G40" s="9">
        <f>Table5[[#This Row],[psSAR10g_eyes (mW/kg)]]*10^3/Table5[[#This Row],[Input Power (mW)]]</f>
        <v>8.0127160087023803</v>
      </c>
      <c r="H40" s="9">
        <f>Table5[[#This Row],[psSAR10g_skin (mW/kg)]]*10^3/Table5[[#This Row],[Input Power (mW)]]</f>
        <v>82.473679658856895</v>
      </c>
      <c r="I40" s="9">
        <f>Table5[[#This Row],[psSAR10g_brain (mW/kg)]]*10^3/Table5[[#This Row],[Input Power (mW)]]</f>
        <v>4.9280023238527564</v>
      </c>
      <c r="J40" s="9">
        <f>Table5[[#This Row],[SAR_brain (mW/kg)]]*10^3/Table5[[#This Row],[Input Power (mW)]]</f>
        <v>0.50546650386634462</v>
      </c>
    </row>
    <row r="41" spans="1:10" ht="15.75" customHeight="1" thickBot="1" x14ac:dyDescent="0.4">
      <c r="A41" s="6">
        <v>2450</v>
      </c>
      <c r="B41" s="6" t="s">
        <v>25</v>
      </c>
      <c r="C41" s="6">
        <v>1</v>
      </c>
      <c r="D41" s="10">
        <f>Table5[[#This Row],[SAR_wholebody (mW/kg)]]*10^3/Table5[[#This Row],[Input Power (mW)]]</f>
        <v>4.9639131173939051</v>
      </c>
      <c r="E41" s="10">
        <f>Table5[[#This Row],[SAR_head (mW/kg)]]*10^3/Table5[[#This Row],[Input Power (mW)]]</f>
        <v>2.0894450188247431</v>
      </c>
      <c r="F41" s="10">
        <f>Table5[[#This Row],[SAR_trunk (mW/kg)]]*10^3/Table5[[#This Row],[Input Power (mW)]]</f>
        <v>5.9829318956070541</v>
      </c>
      <c r="G41" s="10">
        <f>Table5[[#This Row],[psSAR10g_eyes (mW/kg)]]*10^3/Table5[[#This Row],[Input Power (mW)]]</f>
        <v>14.353830820831893</v>
      </c>
      <c r="H41" s="10">
        <f>Table5[[#This Row],[psSAR10g_skin (mW/kg)]]*10^3/Table5[[#This Row],[Input Power (mW)]]</f>
        <v>72.291076449323242</v>
      </c>
      <c r="I41" s="10">
        <f>Table5[[#This Row],[psSAR10g_brain (mW/kg)]]*10^3/Table5[[#This Row],[Input Power (mW)]]</f>
        <v>12.872905709312823</v>
      </c>
      <c r="J41" s="10">
        <f>Table5[[#This Row],[SAR_brain (mW/kg)]]*10^3/Table5[[#This Row],[Input Power (mW)]]</f>
        <v>0.84003343084051552</v>
      </c>
    </row>
    <row r="42" spans="1:10" ht="15.75" customHeight="1" x14ac:dyDescent="0.35">
      <c r="A42" s="3">
        <v>3500</v>
      </c>
      <c r="B42" s="3" t="s">
        <v>18</v>
      </c>
      <c r="C42" s="3">
        <v>1</v>
      </c>
      <c r="D42" s="7">
        <f>Table5[[#This Row],[SAR_wholebody (mW/kg)]]*10^3/Table5[[#This Row],[Input Power (mW)]]</f>
        <v>2.616978795414691</v>
      </c>
      <c r="E42" s="7">
        <f>Table5[[#This Row],[SAR_head (mW/kg)]]*10^3/Table5[[#This Row],[Input Power (mW)]]</f>
        <v>0.662468602588691</v>
      </c>
      <c r="F42" s="7">
        <f>Table5[[#This Row],[SAR_trunk (mW/kg)]]*10^3/Table5[[#This Row],[Input Power (mW)]]</f>
        <v>2.6473162574677276</v>
      </c>
      <c r="G42" s="7">
        <f>Table5[[#This Row],[psSAR10g_eyes (mW/kg)]]*10^3/Table5[[#This Row],[Input Power (mW)]]</f>
        <v>4.3735742490844549</v>
      </c>
      <c r="H42" s="7">
        <f>Table5[[#This Row],[psSAR10g_skin (mW/kg)]]*10^3/Table5[[#This Row],[Input Power (mW)]]</f>
        <v>73.671382171836541</v>
      </c>
      <c r="I42" s="7">
        <f>Table5[[#This Row],[psSAR10g_brain (mW/kg)]]*10^3/Table5[[#This Row],[Input Power (mW)]]</f>
        <v>2.5316316481489816</v>
      </c>
      <c r="J42" s="7">
        <f>Table5[[#This Row],[SAR_brain (mW/kg)]]*10^3/Table5[[#This Row],[Input Power (mW)]]</f>
        <v>0.10899704242961099</v>
      </c>
    </row>
    <row r="43" spans="1:10" ht="15.75" customHeight="1" x14ac:dyDescent="0.35">
      <c r="A43" s="4">
        <v>3500</v>
      </c>
      <c r="B43" s="4" t="s">
        <v>19</v>
      </c>
      <c r="C43" s="4">
        <v>1</v>
      </c>
      <c r="D43" s="8">
        <f>Table5[[#This Row],[SAR_wholebody (mW/kg)]]*10^3/Table5[[#This Row],[Input Power (mW)]]</f>
        <v>3.448516394486691</v>
      </c>
      <c r="E43" s="8">
        <f>Table5[[#This Row],[SAR_head (mW/kg)]]*10^3/Table5[[#This Row],[Input Power (mW)]]</f>
        <v>0.79032008314605817</v>
      </c>
      <c r="F43" s="8">
        <f>Table5[[#This Row],[SAR_trunk (mW/kg)]]*10^3/Table5[[#This Row],[Input Power (mW)]]</f>
        <v>2.8500515445200185</v>
      </c>
      <c r="G43" s="8">
        <f>Table5[[#This Row],[psSAR10g_eyes (mW/kg)]]*10^3/Table5[[#This Row],[Input Power (mW)]]</f>
        <v>5.1805083722926728</v>
      </c>
      <c r="H43" s="8">
        <f>Table5[[#This Row],[psSAR10g_skin (mW/kg)]]*10^3/Table5[[#This Row],[Input Power (mW)]]</f>
        <v>64.509359162643094</v>
      </c>
      <c r="I43" s="8">
        <f>Table5[[#This Row],[psSAR10g_brain (mW/kg)]]*10^3/Table5[[#This Row],[Input Power (mW)]]</f>
        <v>2.6050633824064362</v>
      </c>
      <c r="J43" s="8">
        <f>Table5[[#This Row],[SAR_brain (mW/kg)]]*10^3/Table5[[#This Row],[Input Power (mW)]]</f>
        <v>0.10943114028235014</v>
      </c>
    </row>
    <row r="44" spans="1:10" ht="15.75" customHeight="1" x14ac:dyDescent="0.35">
      <c r="A44" s="5">
        <v>3500</v>
      </c>
      <c r="B44" s="5" t="s">
        <v>20</v>
      </c>
      <c r="C44" s="5">
        <v>1</v>
      </c>
      <c r="D44" s="9">
        <f>Table5[[#This Row],[SAR_wholebody (mW/kg)]]*10^3/Table5[[#This Row],[Input Power (mW)]]</f>
        <v>2.3234040965163638</v>
      </c>
      <c r="E44" s="9">
        <f>Table5[[#This Row],[SAR_head (mW/kg)]]*10^3/Table5[[#This Row],[Input Power (mW)]]</f>
        <v>0.61609663556291105</v>
      </c>
      <c r="F44" s="9">
        <f>Table5[[#This Row],[SAR_trunk (mW/kg)]]*10^3/Table5[[#This Row],[Input Power (mW)]]</f>
        <v>2.2948505980487819</v>
      </c>
      <c r="G44" s="9">
        <f>Table5[[#This Row],[psSAR10g_eyes (mW/kg)]]*10^3/Table5[[#This Row],[Input Power (mW)]]</f>
        <v>4.8350287547296906</v>
      </c>
      <c r="H44" s="9">
        <f>Table5[[#This Row],[psSAR10g_skin (mW/kg)]]*10^3/Table5[[#This Row],[Input Power (mW)]]</f>
        <v>65.966446971134005</v>
      </c>
      <c r="I44" s="9">
        <f>Table5[[#This Row],[psSAR10g_brain (mW/kg)]]*10^3/Table5[[#This Row],[Input Power (mW)]]</f>
        <v>4.5823489355913818</v>
      </c>
      <c r="J44" s="9">
        <f>Table5[[#This Row],[SAR_brain (mW/kg)]]*10^3/Table5[[#This Row],[Input Power (mW)]]</f>
        <v>0.15829404180739715</v>
      </c>
    </row>
    <row r="45" spans="1:10" ht="15.75" customHeight="1" x14ac:dyDescent="0.35">
      <c r="A45" s="4">
        <v>3500</v>
      </c>
      <c r="B45" s="4" t="s">
        <v>21</v>
      </c>
      <c r="C45" s="4">
        <v>1</v>
      </c>
      <c r="D45" s="8">
        <f>Table5[[#This Row],[SAR_wholebody (mW/kg)]]*10^3/Table5[[#This Row],[Input Power (mW)]]</f>
        <v>2.1846500402201818</v>
      </c>
      <c r="E45" s="8">
        <f>Table5[[#This Row],[SAR_head (mW/kg)]]*10^3/Table5[[#This Row],[Input Power (mW)]]</f>
        <v>0.49760420953882728</v>
      </c>
      <c r="F45" s="8">
        <f>Table5[[#This Row],[SAR_trunk (mW/kg)]]*10^3/Table5[[#This Row],[Input Power (mW)]]</f>
        <v>1.6291369104260127</v>
      </c>
      <c r="G45" s="8">
        <f>Table5[[#This Row],[psSAR10g_eyes (mW/kg)]]*10^3/Table5[[#This Row],[Input Power (mW)]]</f>
        <v>3.2277637999409818</v>
      </c>
      <c r="H45" s="8">
        <f>Table5[[#This Row],[psSAR10g_skin (mW/kg)]]*10^3/Table5[[#This Row],[Input Power (mW)]]</f>
        <v>93.862093616345462</v>
      </c>
      <c r="I45" s="8">
        <f>Table5[[#This Row],[psSAR10g_brain (mW/kg)]]*10^3/Table5[[#This Row],[Input Power (mW)]]</f>
        <v>2.4372765710683635</v>
      </c>
      <c r="J45" s="8">
        <f>Table5[[#This Row],[SAR_brain (mW/kg)]]*10^3/Table5[[#This Row],[Input Power (mW)]]</f>
        <v>5.4328112438867107E-2</v>
      </c>
    </row>
    <row r="46" spans="1:10" ht="15.75" customHeight="1" x14ac:dyDescent="0.35">
      <c r="A46" s="5">
        <v>3500</v>
      </c>
      <c r="B46" s="5" t="s">
        <v>22</v>
      </c>
      <c r="C46" s="5">
        <v>1</v>
      </c>
      <c r="D46" s="9">
        <f>Table5[[#This Row],[SAR_wholebody (mW/kg)]]*10^3/Table5[[#This Row],[Input Power (mW)]]</f>
        <v>2.5553351225681089</v>
      </c>
      <c r="E46" s="9">
        <f>Table5[[#This Row],[SAR_head (mW/kg)]]*10^3/Table5[[#This Row],[Input Power (mW)]]</f>
        <v>0.55138788898778912</v>
      </c>
      <c r="F46" s="9">
        <f>Table5[[#This Row],[SAR_trunk (mW/kg)]]*10^3/Table5[[#This Row],[Input Power (mW)]]</f>
        <v>2.454764073282182</v>
      </c>
      <c r="G46" s="9">
        <f>Table5[[#This Row],[psSAR10g_eyes (mW/kg)]]*10^3/Table5[[#This Row],[Input Power (mW)]]</f>
        <v>3.0813138925774908</v>
      </c>
      <c r="H46" s="9">
        <f>Table5[[#This Row],[psSAR10g_skin (mW/kg)]]*10^3/Table5[[#This Row],[Input Power (mW)]]</f>
        <v>80.720751523081645</v>
      </c>
      <c r="I46" s="9">
        <f>Table5[[#This Row],[psSAR10g_brain (mW/kg)]]*10^3/Table5[[#This Row],[Input Power (mW)]]</f>
        <v>4.6470409082721273</v>
      </c>
      <c r="J46" s="9">
        <f>Table5[[#This Row],[SAR_brain (mW/kg)]]*10^3/Table5[[#This Row],[Input Power (mW)]]</f>
        <v>8.6726804999369342E-2</v>
      </c>
    </row>
    <row r="47" spans="1:10" ht="15.75" customHeight="1" x14ac:dyDescent="0.35">
      <c r="A47" s="4">
        <v>3500</v>
      </c>
      <c r="B47" s="4" t="s">
        <v>23</v>
      </c>
      <c r="C47" s="4">
        <v>1</v>
      </c>
      <c r="D47" s="8">
        <f>Table5[[#This Row],[SAR_wholebody (mW/kg)]]*10^3/Table5[[#This Row],[Input Power (mW)]]</f>
        <v>3.7880971403751822</v>
      </c>
      <c r="E47" s="8">
        <f>Table5[[#This Row],[SAR_head (mW/kg)]]*10^3/Table5[[#This Row],[Input Power (mW)]]</f>
        <v>0.89241462213920553</v>
      </c>
      <c r="F47" s="8">
        <f>Table5[[#This Row],[SAR_trunk (mW/kg)]]*10^3/Table5[[#This Row],[Input Power (mW)]]</f>
        <v>3.6462988407262729</v>
      </c>
      <c r="G47" s="8">
        <f>Table5[[#This Row],[psSAR10g_eyes (mW/kg)]]*10^3/Table5[[#This Row],[Input Power (mW)]]</f>
        <v>3.6453510947383454</v>
      </c>
      <c r="H47" s="8">
        <f>Table5[[#This Row],[psSAR10g_skin (mW/kg)]]*10^3/Table5[[#This Row],[Input Power (mW)]]</f>
        <v>81.71625918385746</v>
      </c>
      <c r="I47" s="8">
        <f>Table5[[#This Row],[psSAR10g_brain (mW/kg)]]*10^3/Table5[[#This Row],[Input Power (mW)]]</f>
        <v>3.7777861134300363</v>
      </c>
      <c r="J47" s="8">
        <f>Table5[[#This Row],[SAR_brain (mW/kg)]]*10^3/Table5[[#This Row],[Input Power (mW)]]</f>
        <v>0.17172829553112898</v>
      </c>
    </row>
    <row r="48" spans="1:10" ht="15.75" customHeight="1" x14ac:dyDescent="0.35">
      <c r="A48" s="5">
        <v>3500</v>
      </c>
      <c r="B48" s="5" t="s">
        <v>24</v>
      </c>
      <c r="C48" s="5">
        <v>1</v>
      </c>
      <c r="D48" s="9">
        <f>Table5[[#This Row],[SAR_wholebody (mW/kg)]]*10^3/Table5[[#This Row],[Input Power (mW)]]</f>
        <v>2.5221898709697816</v>
      </c>
      <c r="E48" s="9">
        <f>Table5[[#This Row],[SAR_head (mW/kg)]]*10^3/Table5[[#This Row],[Input Power (mW)]]</f>
        <v>1.115731260185711</v>
      </c>
      <c r="F48" s="9">
        <f>Table5[[#This Row],[SAR_trunk (mW/kg)]]*10^3/Table5[[#This Row],[Input Power (mW)]]</f>
        <v>2.4655891044241818</v>
      </c>
      <c r="G48" s="9">
        <f>Table5[[#This Row],[psSAR10g_eyes (mW/kg)]]*10^3/Table5[[#This Row],[Input Power (mW)]]</f>
        <v>10.079446678187145</v>
      </c>
      <c r="H48" s="9">
        <f>Table5[[#This Row],[psSAR10g_skin (mW/kg)]]*10^3/Table5[[#This Row],[Input Power (mW)]]</f>
        <v>80.070423028158913</v>
      </c>
      <c r="I48" s="9">
        <f>Table5[[#This Row],[psSAR10g_brain (mW/kg)]]*10^3/Table5[[#This Row],[Input Power (mW)]]</f>
        <v>4.8305501158546909</v>
      </c>
      <c r="J48" s="9">
        <f>Table5[[#This Row],[SAR_brain (mW/kg)]]*10^3/Table5[[#This Row],[Input Power (mW)]]</f>
        <v>0.20342347606519456</v>
      </c>
    </row>
    <row r="49" spans="1:10" ht="15.75" customHeight="1" thickBot="1" x14ac:dyDescent="0.4">
      <c r="A49" s="6">
        <v>3500</v>
      </c>
      <c r="B49" s="6" t="s">
        <v>25</v>
      </c>
      <c r="C49" s="6">
        <v>1</v>
      </c>
      <c r="D49" s="10">
        <f>Table5[[#This Row],[SAR_wholebody (mW/kg)]]*10^3/Table5[[#This Row],[Input Power (mW)]]</f>
        <v>3.3893124868440907</v>
      </c>
      <c r="E49" s="10">
        <f>Table5[[#This Row],[SAR_head (mW/kg)]]*10^3/Table5[[#This Row],[Input Power (mW)]]</f>
        <v>0.86213712496323458</v>
      </c>
      <c r="F49" s="10">
        <f>Table5[[#This Row],[SAR_trunk (mW/kg)]]*10^3/Table5[[#This Row],[Input Power (mW)]]</f>
        <v>3.0020480230848365</v>
      </c>
      <c r="G49" s="10">
        <f>Table5[[#This Row],[psSAR10g_eyes (mW/kg)]]*10^3/Table5[[#This Row],[Input Power (mW)]]</f>
        <v>6.5725777159150898</v>
      </c>
      <c r="H49" s="10">
        <f>Table5[[#This Row],[psSAR10g_skin (mW/kg)]]*10^3/Table5[[#This Row],[Input Power (mW)]]</f>
        <v>70.665075171567821</v>
      </c>
      <c r="I49" s="10">
        <f>Table5[[#This Row],[psSAR10g_brain (mW/kg)]]*10^3/Table5[[#This Row],[Input Power (mW)]]</f>
        <v>8.1352195187061813</v>
      </c>
      <c r="J49" s="10">
        <f>Table5[[#This Row],[SAR_brain (mW/kg)]]*10^3/Table5[[#This Row],[Input Power (mW)]]</f>
        <v>0.18910562842058826</v>
      </c>
    </row>
    <row r="50" spans="1:10" ht="15.75" customHeight="1" x14ac:dyDescent="0.35">
      <c r="A50" s="3">
        <v>5200</v>
      </c>
      <c r="B50" s="3" t="s">
        <v>18</v>
      </c>
      <c r="C50" s="3">
        <v>1</v>
      </c>
      <c r="D50" s="7">
        <f>Table5[[#This Row],[SAR_wholebody (mW/kg)]]*10^3/Table5[[#This Row],[Input Power (mW)]]</f>
        <v>2.3281770012881506</v>
      </c>
      <c r="E50" s="7">
        <f>Table5[[#This Row],[SAR_head (mW/kg)]]*10^3/Table5[[#This Row],[Input Power (mW)]]</f>
        <v>0.56789450783223017</v>
      </c>
      <c r="F50" s="7">
        <f>Table5[[#This Row],[SAR_trunk (mW/kg)]]*10^3/Table5[[#This Row],[Input Power (mW)]]</f>
        <v>1.7307906190932019</v>
      </c>
      <c r="G50" s="7">
        <f>Table5[[#This Row],[psSAR10g_eyes (mW/kg)]]*10^3/Table5[[#This Row],[Input Power (mW)]]</f>
        <v>5.4208476275134156</v>
      </c>
      <c r="H50" s="7">
        <f>Table5[[#This Row],[psSAR10g_skin (mW/kg)]]*10^3/Table5[[#This Row],[Input Power (mW)]]</f>
        <v>53.080934133847173</v>
      </c>
      <c r="I50" s="7">
        <f>Table5[[#This Row],[psSAR10g_brain (mW/kg)]]*10^3/Table5[[#This Row],[Input Power (mW)]]</f>
        <v>4.5962406405618497</v>
      </c>
      <c r="J50" s="7">
        <f>Table5[[#This Row],[SAR_brain (mW/kg)]]*10^3/Table5[[#This Row],[Input Power (mW)]]</f>
        <v>6.4631598312194921E-2</v>
      </c>
    </row>
    <row r="51" spans="1:10" ht="15.75" customHeight="1" x14ac:dyDescent="0.35">
      <c r="A51" s="4">
        <v>5200</v>
      </c>
      <c r="B51" s="4" t="s">
        <v>19</v>
      </c>
      <c r="C51" s="4">
        <v>1</v>
      </c>
      <c r="D51" s="8">
        <f>Table5[[#This Row],[SAR_wholebody (mW/kg)]]*10^3/Table5[[#This Row],[Input Power (mW)]]</f>
        <v>2.5378628565011891</v>
      </c>
      <c r="E51" s="8">
        <f>Table5[[#This Row],[SAR_head (mW/kg)]]*10^3/Table5[[#This Row],[Input Power (mW)]]</f>
        <v>0.37647326670438863</v>
      </c>
      <c r="F51" s="8">
        <f>Table5[[#This Row],[SAR_trunk (mW/kg)]]*10^3/Table5[[#This Row],[Input Power (mW)]]</f>
        <v>1.646895524684415</v>
      </c>
      <c r="G51" s="8">
        <f>Table5[[#This Row],[psSAR10g_eyes (mW/kg)]]*10^3/Table5[[#This Row],[Input Power (mW)]]</f>
        <v>4.0137799680905664</v>
      </c>
      <c r="H51" s="8">
        <f>Table5[[#This Row],[psSAR10g_skin (mW/kg)]]*10^3/Table5[[#This Row],[Input Power (mW)]]</f>
        <v>50.091582399028866</v>
      </c>
      <c r="I51" s="8">
        <f>Table5[[#This Row],[psSAR10g_brain (mW/kg)]]*10^3/Table5[[#This Row],[Input Power (mW)]]</f>
        <v>3.292717451476038</v>
      </c>
      <c r="J51" s="8">
        <f>Table5[[#This Row],[SAR_brain (mW/kg)]]*10^3/Table5[[#This Row],[Input Power (mW)]]</f>
        <v>4.4217233486609692E-2</v>
      </c>
    </row>
    <row r="52" spans="1:10" ht="15.75" customHeight="1" x14ac:dyDescent="0.35">
      <c r="A52" s="5">
        <v>5200</v>
      </c>
      <c r="B52" s="5" t="s">
        <v>20</v>
      </c>
      <c r="C52" s="5">
        <v>1</v>
      </c>
      <c r="D52" s="9">
        <f>Table5[[#This Row],[SAR_wholebody (mW/kg)]]*10^3/Table5[[#This Row],[Input Power (mW)]]</f>
        <v>1.8725223837221792</v>
      </c>
      <c r="E52" s="9">
        <f>Table5[[#This Row],[SAR_head (mW/kg)]]*10^3/Table5[[#This Row],[Input Power (mW)]]</f>
        <v>0.70754202199379812</v>
      </c>
      <c r="F52" s="9">
        <f>Table5[[#This Row],[SAR_trunk (mW/kg)]]*10^3/Table5[[#This Row],[Input Power (mW)]]</f>
        <v>1.4011996755286151</v>
      </c>
      <c r="G52" s="9">
        <f>Table5[[#This Row],[psSAR10g_eyes (mW/kg)]]*10^3/Table5[[#This Row],[Input Power (mW)]]</f>
        <v>15.469212491604546</v>
      </c>
      <c r="H52" s="9">
        <f>Table5[[#This Row],[psSAR10g_skin (mW/kg)]]*10^3/Table5[[#This Row],[Input Power (mW)]]</f>
        <v>47.712469051401129</v>
      </c>
      <c r="I52" s="9">
        <f>Table5[[#This Row],[psSAR10g_brain (mW/kg)]]*10^3/Table5[[#This Row],[Input Power (mW)]]</f>
        <v>11.176188074312678</v>
      </c>
      <c r="J52" s="9">
        <f>Table5[[#This Row],[SAR_brain (mW/kg)]]*10^3/Table5[[#This Row],[Input Power (mW)]]</f>
        <v>0.11290339327138384</v>
      </c>
    </row>
    <row r="53" spans="1:10" ht="15.75" customHeight="1" x14ac:dyDescent="0.35">
      <c r="A53" s="4">
        <v>5200</v>
      </c>
      <c r="B53" s="4" t="s">
        <v>21</v>
      </c>
      <c r="C53" s="4">
        <v>1</v>
      </c>
      <c r="D53" s="8">
        <f>Table5[[#This Row],[SAR_wholebody (mW/kg)]]*10^3/Table5[[#This Row],[Input Power (mW)]]</f>
        <v>1.8305052773291171</v>
      </c>
      <c r="E53" s="8">
        <f>Table5[[#This Row],[SAR_head (mW/kg)]]*10^3/Table5[[#This Row],[Input Power (mW)]]</f>
        <v>0.50130108225198866</v>
      </c>
      <c r="F53" s="8">
        <f>Table5[[#This Row],[SAR_trunk (mW/kg)]]*10^3/Table5[[#This Row],[Input Power (mW)]]</f>
        <v>1.1641653830333831</v>
      </c>
      <c r="G53" s="8">
        <f>Table5[[#This Row],[psSAR10g_eyes (mW/kg)]]*10^3/Table5[[#This Row],[Input Power (mW)]]</f>
        <v>6.4835392222921309</v>
      </c>
      <c r="H53" s="8">
        <f>Table5[[#This Row],[psSAR10g_skin (mW/kg)]]*10^3/Table5[[#This Row],[Input Power (mW)]]</f>
        <v>43.042408275237165</v>
      </c>
      <c r="I53" s="8">
        <f>Table5[[#This Row],[psSAR10g_brain (mW/kg)]]*10^3/Table5[[#This Row],[Input Power (mW)]]</f>
        <v>7.7207034419518674</v>
      </c>
      <c r="J53" s="8">
        <f>Table5[[#This Row],[SAR_brain (mW/kg)]]*10^3/Table5[[#This Row],[Input Power (mW)]]</f>
        <v>7.4544908326511006E-2</v>
      </c>
    </row>
    <row r="54" spans="1:10" ht="15.75" customHeight="1" x14ac:dyDescent="0.35">
      <c r="A54" s="5">
        <v>5200</v>
      </c>
      <c r="B54" s="5" t="s">
        <v>22</v>
      </c>
      <c r="C54" s="5">
        <v>1</v>
      </c>
      <c r="D54" s="9">
        <f>Table5[[#This Row],[SAR_wholebody (mW/kg)]]*10^3/Table5[[#This Row],[Input Power (mW)]]</f>
        <v>2.1695160592789242</v>
      </c>
      <c r="E54" s="9">
        <f>Table5[[#This Row],[SAR_head (mW/kg)]]*10^3/Table5[[#This Row],[Input Power (mW)]]</f>
        <v>0.55395249979296601</v>
      </c>
      <c r="F54" s="9">
        <f>Table5[[#This Row],[SAR_trunk (mW/kg)]]*10^3/Table5[[#This Row],[Input Power (mW)]]</f>
        <v>1.6909679559844584</v>
      </c>
      <c r="G54" s="9">
        <f>Table5[[#This Row],[psSAR10g_eyes (mW/kg)]]*10^3/Table5[[#This Row],[Input Power (mW)]]</f>
        <v>4.5564678756281509</v>
      </c>
      <c r="H54" s="9">
        <f>Table5[[#This Row],[psSAR10g_skin (mW/kg)]]*10^3/Table5[[#This Row],[Input Power (mW)]]</f>
        <v>45.700851396325277</v>
      </c>
      <c r="I54" s="9">
        <f>Table5[[#This Row],[psSAR10g_brain (mW/kg)]]*10^3/Table5[[#This Row],[Input Power (mW)]]</f>
        <v>6.6615645378818682</v>
      </c>
      <c r="J54" s="9">
        <f>Table5[[#This Row],[SAR_brain (mW/kg)]]*10^3/Table5[[#This Row],[Input Power (mW)]]</f>
        <v>7.1279067332420204E-2</v>
      </c>
    </row>
    <row r="55" spans="1:10" ht="15.75" customHeight="1" x14ac:dyDescent="0.35">
      <c r="A55" s="4">
        <v>5200</v>
      </c>
      <c r="B55" s="4" t="s">
        <v>23</v>
      </c>
      <c r="C55" s="4">
        <v>1</v>
      </c>
      <c r="D55" s="8">
        <f>Table5[[#This Row],[SAR_wholebody (mW/kg)]]*10^3/Table5[[#This Row],[Input Power (mW)]]</f>
        <v>2.6778136908896983</v>
      </c>
      <c r="E55" s="8">
        <f>Table5[[#This Row],[SAR_head (mW/kg)]]*10^3/Table5[[#This Row],[Input Power (mW)]]</f>
        <v>0.34275840132230945</v>
      </c>
      <c r="F55" s="8">
        <f>Table5[[#This Row],[SAR_trunk (mW/kg)]]*10^3/Table5[[#This Row],[Input Power (mW)]]</f>
        <v>1.8697463992372887</v>
      </c>
      <c r="G55" s="8">
        <f>Table5[[#This Row],[psSAR10g_eyes (mW/kg)]]*10^3/Table5[[#This Row],[Input Power (mW)]]</f>
        <v>3.860253795980547</v>
      </c>
      <c r="H55" s="8">
        <f>Table5[[#This Row],[psSAR10g_skin (mW/kg)]]*10^3/Table5[[#This Row],[Input Power (mW)]]</f>
        <v>47.609376176405853</v>
      </c>
      <c r="I55" s="8">
        <f>Table5[[#This Row],[psSAR10g_brain (mW/kg)]]*10^3/Table5[[#This Row],[Input Power (mW)]]</f>
        <v>3.2327104392832076</v>
      </c>
      <c r="J55" s="8">
        <f>Table5[[#This Row],[SAR_brain (mW/kg)]]*10^3/Table5[[#This Row],[Input Power (mW)]]</f>
        <v>4.5042189696958709E-2</v>
      </c>
    </row>
    <row r="56" spans="1:10" ht="15.75" customHeight="1" x14ac:dyDescent="0.35">
      <c r="A56" s="5">
        <v>5200</v>
      </c>
      <c r="B56" s="5" t="s">
        <v>24</v>
      </c>
      <c r="C56" s="5">
        <v>1</v>
      </c>
      <c r="D56" s="9">
        <f>Table5[[#This Row],[SAR_wholebody (mW/kg)]]*10^3/Table5[[#This Row],[Input Power (mW)]]</f>
        <v>2.2183943064327738</v>
      </c>
      <c r="E56" s="9">
        <f>Table5[[#This Row],[SAR_head (mW/kg)]]*10^3/Table5[[#This Row],[Input Power (mW)]]</f>
        <v>1.1203658724981018</v>
      </c>
      <c r="F56" s="9">
        <f>Table5[[#This Row],[SAR_trunk (mW/kg)]]*10^3/Table5[[#This Row],[Input Power (mW)]]</f>
        <v>1.5826124264766432</v>
      </c>
      <c r="G56" s="9">
        <f>Table5[[#This Row],[psSAR10g_eyes (mW/kg)]]*10^3/Table5[[#This Row],[Input Power (mW)]]</f>
        <v>17.782371178673284</v>
      </c>
      <c r="H56" s="9">
        <f>Table5[[#This Row],[psSAR10g_skin (mW/kg)]]*10^3/Table5[[#This Row],[Input Power (mW)]]</f>
        <v>67.024664412830191</v>
      </c>
      <c r="I56" s="9">
        <f>Table5[[#This Row],[psSAR10g_brain (mW/kg)]]*10^3/Table5[[#This Row],[Input Power (mW)]]</f>
        <v>12.679928513158471</v>
      </c>
      <c r="J56" s="9">
        <f>Table5[[#This Row],[SAR_brain (mW/kg)]]*10^3/Table5[[#This Row],[Input Power (mW)]]</f>
        <v>0.12234356875462694</v>
      </c>
    </row>
    <row r="57" spans="1:10" ht="15.75" customHeight="1" thickBot="1" x14ac:dyDescent="0.4">
      <c r="A57" s="6">
        <v>5200</v>
      </c>
      <c r="B57" s="6" t="s">
        <v>25</v>
      </c>
      <c r="C57" s="6">
        <v>1</v>
      </c>
      <c r="D57" s="10">
        <f>Table5[[#This Row],[SAR_wholebody (mW/kg)]]*10^3/Table5[[#This Row],[Input Power (mW)]]</f>
        <v>2.5726641974678865</v>
      </c>
      <c r="E57" s="10">
        <f>Table5[[#This Row],[SAR_head (mW/kg)]]*10^3/Table5[[#This Row],[Input Power (mW)]]</f>
        <v>0.61116769681014904</v>
      </c>
      <c r="F57" s="10">
        <f>Table5[[#This Row],[SAR_trunk (mW/kg)]]*10^3/Table5[[#This Row],[Input Power (mW)]]</f>
        <v>1.9973746231982641</v>
      </c>
      <c r="G57" s="10">
        <f>Table5[[#This Row],[psSAR10g_eyes (mW/kg)]]*10^3/Table5[[#This Row],[Input Power (mW)]]</f>
        <v>7.5890520576310943</v>
      </c>
      <c r="H57" s="10">
        <f>Table5[[#This Row],[psSAR10g_skin (mW/kg)]]*10^3/Table5[[#This Row],[Input Power (mW)]]</f>
        <v>44.966854092045281</v>
      </c>
      <c r="I57" s="10">
        <f>Table5[[#This Row],[psSAR10g_brain (mW/kg)]]*10^3/Table5[[#This Row],[Input Power (mW)]]</f>
        <v>6.9455288891301885</v>
      </c>
      <c r="J57" s="10">
        <f>Table5[[#This Row],[SAR_brain (mW/kg)]]*10^3/Table5[[#This Row],[Input Power (mW)]]</f>
        <v>7.2484865115632291E-2</v>
      </c>
    </row>
    <row r="58" spans="1:10" ht="15.75" customHeight="1" x14ac:dyDescent="0.35">
      <c r="A58" s="3">
        <v>5800</v>
      </c>
      <c r="B58" s="3" t="s">
        <v>18</v>
      </c>
      <c r="C58" s="3">
        <v>1</v>
      </c>
      <c r="D58" s="7">
        <f>Table5[[#This Row],[SAR_wholebody (mW/kg)]]*10^3/Table5[[#This Row],[Input Power (mW)]]</f>
        <v>2.3009955474854631</v>
      </c>
      <c r="E58" s="7">
        <f>Table5[[#This Row],[SAR_head (mW/kg)]]*10^3/Table5[[#This Row],[Input Power (mW)]]</f>
        <v>0.53056370755597781</v>
      </c>
      <c r="F58" s="7">
        <f>Table5[[#This Row],[SAR_trunk (mW/kg)]]*10^3/Table5[[#This Row],[Input Power (mW)]]</f>
        <v>1.5155825229106965</v>
      </c>
      <c r="G58" s="7">
        <f>Table5[[#This Row],[psSAR10g_eyes (mW/kg)]]*10^3/Table5[[#This Row],[Input Power (mW)]]</f>
        <v>6.4550866808020366</v>
      </c>
      <c r="H58" s="7">
        <f>Table5[[#This Row],[psSAR10g_skin (mW/kg)]]*10^3/Table5[[#This Row],[Input Power (mW)]]</f>
        <v>49.175631125081289</v>
      </c>
      <c r="I58" s="7">
        <f>Table5[[#This Row],[psSAR10g_brain (mW/kg)]]*10^3/Table5[[#This Row],[Input Power (mW)]]</f>
        <v>5.2493322583053708</v>
      </c>
      <c r="J58" s="7">
        <f>Table5[[#This Row],[SAR_brain (mW/kg)]]*10^3/Table5[[#This Row],[Input Power (mW)]]</f>
        <v>4.2833303776773864E-2</v>
      </c>
    </row>
    <row r="59" spans="1:10" ht="15.75" customHeight="1" x14ac:dyDescent="0.35">
      <c r="A59" s="4">
        <v>5800</v>
      </c>
      <c r="B59" s="4" t="s">
        <v>19</v>
      </c>
      <c r="C59" s="4">
        <v>1</v>
      </c>
      <c r="D59" s="8">
        <f>Table5[[#This Row],[SAR_wholebody (mW/kg)]]*10^3/Table5[[#This Row],[Input Power (mW)]]</f>
        <v>2.410912656416722</v>
      </c>
      <c r="E59" s="8">
        <f>Table5[[#This Row],[SAR_head (mW/kg)]]*10^3/Table5[[#This Row],[Input Power (mW)]]</f>
        <v>0.47270158850700927</v>
      </c>
      <c r="F59" s="8">
        <f>Table5[[#This Row],[SAR_trunk (mW/kg)]]*10^3/Table5[[#This Row],[Input Power (mW)]]</f>
        <v>1.5857507307124907</v>
      </c>
      <c r="G59" s="8">
        <f>Table5[[#This Row],[psSAR10g_eyes (mW/kg)]]*10^3/Table5[[#This Row],[Input Power (mW)]]</f>
        <v>6.1697110712731851</v>
      </c>
      <c r="H59" s="8">
        <f>Table5[[#This Row],[psSAR10g_skin (mW/kg)]]*10^3/Table5[[#This Row],[Input Power (mW)]]</f>
        <v>50.93717590317074</v>
      </c>
      <c r="I59" s="8">
        <f>Table5[[#This Row],[psSAR10g_brain (mW/kg)]]*10^3/Table5[[#This Row],[Input Power (mW)]]</f>
        <v>5.1433351306020558</v>
      </c>
      <c r="J59" s="8">
        <f>Table5[[#This Row],[SAR_brain (mW/kg)]]*10^3/Table5[[#This Row],[Input Power (mW)]]</f>
        <v>4.3137306993700157E-2</v>
      </c>
    </row>
    <row r="60" spans="1:10" ht="15.75" customHeight="1" x14ac:dyDescent="0.35">
      <c r="A60" s="5">
        <v>5800</v>
      </c>
      <c r="B60" s="5" t="s">
        <v>20</v>
      </c>
      <c r="C60" s="5">
        <v>1</v>
      </c>
      <c r="D60" s="9">
        <f>Table5[[#This Row],[SAR_wholebody (mW/kg)]]*10^3/Table5[[#This Row],[Input Power (mW)]]</f>
        <v>1.8823066830990369</v>
      </c>
      <c r="E60" s="9">
        <f>Table5[[#This Row],[SAR_head (mW/kg)]]*10^3/Table5[[#This Row],[Input Power (mW)]]</f>
        <v>0.73987055222742604</v>
      </c>
      <c r="F60" s="9">
        <f>Table5[[#This Row],[SAR_trunk (mW/kg)]]*10^3/Table5[[#This Row],[Input Power (mW)]]</f>
        <v>1.2424685934256983</v>
      </c>
      <c r="G60" s="9">
        <f>Table5[[#This Row],[psSAR10g_eyes (mW/kg)]]*10^3/Table5[[#This Row],[Input Power (mW)]]</f>
        <v>15.192563402940186</v>
      </c>
      <c r="H60" s="9">
        <f>Table5[[#This Row],[psSAR10g_skin (mW/kg)]]*10^3/Table5[[#This Row],[Input Power (mW)]]</f>
        <v>40.48961817108944</v>
      </c>
      <c r="I60" s="9">
        <f>Table5[[#This Row],[psSAR10g_brain (mW/kg)]]*10^3/Table5[[#This Row],[Input Power (mW)]]</f>
        <v>13.112733084419482</v>
      </c>
      <c r="J60" s="9">
        <f>Table5[[#This Row],[SAR_brain (mW/kg)]]*10^3/Table5[[#This Row],[Input Power (mW)]]</f>
        <v>8.3434397997535104E-2</v>
      </c>
    </row>
    <row r="61" spans="1:10" ht="15.75" customHeight="1" x14ac:dyDescent="0.35">
      <c r="A61" s="4">
        <v>5800</v>
      </c>
      <c r="B61" s="4" t="s">
        <v>21</v>
      </c>
      <c r="C61" s="4">
        <v>1</v>
      </c>
      <c r="D61" s="8">
        <f>Table5[[#This Row],[SAR_wholebody (mW/kg)]]*10^3/Table5[[#This Row],[Input Power (mW)]]</f>
        <v>1.8560907038697962</v>
      </c>
      <c r="E61" s="8">
        <f>Table5[[#This Row],[SAR_head (mW/kg)]]*10^3/Table5[[#This Row],[Input Power (mW)]]</f>
        <v>0.40358117524141296</v>
      </c>
      <c r="F61" s="8">
        <f>Table5[[#This Row],[SAR_trunk (mW/kg)]]*10^3/Table5[[#This Row],[Input Power (mW)]]</f>
        <v>1.0779428045695778</v>
      </c>
      <c r="G61" s="8">
        <f>Table5[[#This Row],[psSAR10g_eyes (mW/kg)]]*10^3/Table5[[#This Row],[Input Power (mW)]]</f>
        <v>5.1441711678688886</v>
      </c>
      <c r="H61" s="8">
        <f>Table5[[#This Row],[psSAR10g_skin (mW/kg)]]*10^3/Table5[[#This Row],[Input Power (mW)]]</f>
        <v>39.015531897679821</v>
      </c>
      <c r="I61" s="8">
        <f>Table5[[#This Row],[psSAR10g_brain (mW/kg)]]*10^3/Table5[[#This Row],[Input Power (mW)]]</f>
        <v>6.3759757040351115</v>
      </c>
      <c r="J61" s="8">
        <f>Table5[[#This Row],[SAR_brain (mW/kg)]]*10^3/Table5[[#This Row],[Input Power (mW)]]</f>
        <v>4.4975577958853714E-2</v>
      </c>
    </row>
    <row r="62" spans="1:10" ht="15.75" customHeight="1" x14ac:dyDescent="0.35">
      <c r="A62" s="5">
        <v>5800</v>
      </c>
      <c r="B62" s="5" t="s">
        <v>22</v>
      </c>
      <c r="C62" s="5">
        <v>1</v>
      </c>
      <c r="D62" s="9">
        <f>Table5[[#This Row],[SAR_wholebody (mW/kg)]]*10^3/Table5[[#This Row],[Input Power (mW)]]</f>
        <v>2.1445549059732039</v>
      </c>
      <c r="E62" s="9">
        <f>Table5[[#This Row],[SAR_head (mW/kg)]]*10^3/Table5[[#This Row],[Input Power (mW)]]</f>
        <v>0.49906604758459444</v>
      </c>
      <c r="F62" s="9">
        <f>Table5[[#This Row],[SAR_trunk (mW/kg)]]*10^3/Table5[[#This Row],[Input Power (mW)]]</f>
        <v>1.5560692421952591</v>
      </c>
      <c r="G62" s="9">
        <f>Table5[[#This Row],[psSAR10g_eyes (mW/kg)]]*10^3/Table5[[#This Row],[Input Power (mW)]]</f>
        <v>5.2447630620884631</v>
      </c>
      <c r="H62" s="9">
        <f>Table5[[#This Row],[psSAR10g_skin (mW/kg)]]*10^3/Table5[[#This Row],[Input Power (mW)]]</f>
        <v>41.031715537476295</v>
      </c>
      <c r="I62" s="9">
        <f>Table5[[#This Row],[psSAR10g_brain (mW/kg)]]*10^3/Table5[[#This Row],[Input Power (mW)]]</f>
        <v>6.0001805616234263</v>
      </c>
      <c r="J62" s="9">
        <f>Table5[[#This Row],[SAR_brain (mW/kg)]]*10^3/Table5[[#This Row],[Input Power (mW)]]</f>
        <v>4.8655921008451758E-2</v>
      </c>
    </row>
    <row r="63" spans="1:10" ht="15.75" customHeight="1" x14ac:dyDescent="0.35">
      <c r="A63" s="4">
        <v>5800</v>
      </c>
      <c r="B63" s="4" t="s">
        <v>23</v>
      </c>
      <c r="C63" s="4">
        <v>1</v>
      </c>
      <c r="D63" s="8">
        <f>Table5[[#This Row],[SAR_wholebody (mW/kg)]]*10^3/Table5[[#This Row],[Input Power (mW)]]</f>
        <v>2.6032994956527964</v>
      </c>
      <c r="E63" s="8">
        <f>Table5[[#This Row],[SAR_head (mW/kg)]]*10^3/Table5[[#This Row],[Input Power (mW)]]</f>
        <v>0.51865816883329074</v>
      </c>
      <c r="F63" s="8">
        <f>Table5[[#This Row],[SAR_trunk (mW/kg)]]*10^3/Table5[[#This Row],[Input Power (mW)]]</f>
        <v>1.7644455898441351</v>
      </c>
      <c r="G63" s="8">
        <f>Table5[[#This Row],[psSAR10g_eyes (mW/kg)]]*10^3/Table5[[#This Row],[Input Power (mW)]]</f>
        <v>4.4904993129118518</v>
      </c>
      <c r="H63" s="8">
        <f>Table5[[#This Row],[psSAR10g_skin (mW/kg)]]*10^3/Table5[[#This Row],[Input Power (mW)]]</f>
        <v>40.382789127603338</v>
      </c>
      <c r="I63" s="8">
        <f>Table5[[#This Row],[psSAR10g_brain (mW/kg)]]*10^3/Table5[[#This Row],[Input Power (mW)]]</f>
        <v>4.1990080407193702</v>
      </c>
      <c r="J63" s="8">
        <f>Table5[[#This Row],[SAR_brain (mW/kg)]]*10^3/Table5[[#This Row],[Input Power (mW)]]</f>
        <v>4.1764341401502328E-2</v>
      </c>
    </row>
    <row r="64" spans="1:10" ht="15.75" customHeight="1" x14ac:dyDescent="0.35">
      <c r="A64" s="5">
        <v>5800</v>
      </c>
      <c r="B64" s="5" t="s">
        <v>24</v>
      </c>
      <c r="C64" s="5">
        <v>1</v>
      </c>
      <c r="D64" s="9">
        <f>Table5[[#This Row],[SAR_wholebody (mW/kg)]]*10^3/Table5[[#This Row],[Input Power (mW)]]</f>
        <v>2.0842093211585371</v>
      </c>
      <c r="E64" s="9">
        <f>Table5[[#This Row],[SAR_head (mW/kg)]]*10^3/Table5[[#This Row],[Input Power (mW)]]</f>
        <v>0.90310400429494442</v>
      </c>
      <c r="F64" s="9">
        <f>Table5[[#This Row],[SAR_trunk (mW/kg)]]*10^3/Table5[[#This Row],[Input Power (mW)]]</f>
        <v>1.456033421696272</v>
      </c>
      <c r="G64" s="9">
        <f>Table5[[#This Row],[psSAR10g_eyes (mW/kg)]]*10^3/Table5[[#This Row],[Input Power (mW)]]</f>
        <v>19.72142765744</v>
      </c>
      <c r="H64" s="9">
        <f>Table5[[#This Row],[psSAR10g_skin (mW/kg)]]*10^3/Table5[[#This Row],[Input Power (mW)]]</f>
        <v>67.206207297544822</v>
      </c>
      <c r="I64" s="9">
        <f>Table5[[#This Row],[psSAR10g_brain (mW/kg)]]*10^3/Table5[[#This Row],[Input Power (mW)]]</f>
        <v>15.98019719450472</v>
      </c>
      <c r="J64" s="9">
        <f>Table5[[#This Row],[SAR_brain (mW/kg)]]*10^3/Table5[[#This Row],[Input Power (mW)]]</f>
        <v>7.5535684608624004E-2</v>
      </c>
    </row>
    <row r="65" spans="1:10" ht="15.75" customHeight="1" thickBot="1" x14ac:dyDescent="0.4">
      <c r="A65" s="6">
        <v>5800</v>
      </c>
      <c r="B65" s="6" t="s">
        <v>25</v>
      </c>
      <c r="C65" s="6">
        <v>1</v>
      </c>
      <c r="D65" s="10">
        <f>Table5[[#This Row],[SAR_wholebody (mW/kg)]]*10^3/Table5[[#This Row],[Input Power (mW)]]</f>
        <v>2.3461190157938887</v>
      </c>
      <c r="E65" s="10">
        <f>Table5[[#This Row],[SAR_head (mW/kg)]]*10^3/Table5[[#This Row],[Input Power (mW)]]</f>
        <v>0.60345606791292217</v>
      </c>
      <c r="F65" s="10">
        <f>Table5[[#This Row],[SAR_trunk (mW/kg)]]*10^3/Table5[[#This Row],[Input Power (mW)]]</f>
        <v>1.5472536250113629</v>
      </c>
      <c r="G65" s="10">
        <f>Table5[[#This Row],[psSAR10g_eyes (mW/kg)]]*10^3/Table5[[#This Row],[Input Power (mW)]]</f>
        <v>9.9771259398053687</v>
      </c>
      <c r="H65" s="10">
        <f>Table5[[#This Row],[psSAR10g_skin (mW/kg)]]*10^3/Table5[[#This Row],[Input Power (mW)]]</f>
        <v>41.740377760455928</v>
      </c>
      <c r="I65" s="10">
        <f>Table5[[#This Row],[psSAR10g_brain (mW/kg)]]*10^3/Table5[[#This Row],[Input Power (mW)]]</f>
        <v>10.558370977006094</v>
      </c>
      <c r="J65" s="10">
        <f>Table5[[#This Row],[SAR_brain (mW/kg)]]*10^3/Table5[[#This Row],[Input Power (mW)]]</f>
        <v>6.9732325483844906E-2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9"/>
  <sheetViews>
    <sheetView zoomScale="90" zoomScaleNormal="248" workbookViewId="0">
      <selection activeCell="J56" sqref="J56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29.3632812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26</v>
      </c>
      <c r="C2" s="3">
        <v>267</v>
      </c>
      <c r="D2" s="3">
        <v>6.0991447941747197</v>
      </c>
      <c r="E2" s="3">
        <v>64.381522247777696</v>
      </c>
      <c r="F2" s="3">
        <v>1.04134959644262</v>
      </c>
      <c r="G2" s="3">
        <v>1032.2216747084501</v>
      </c>
      <c r="H2" s="3">
        <v>2455.0334390329299</v>
      </c>
      <c r="I2" s="3">
        <v>569.53473916078894</v>
      </c>
      <c r="J2" s="3">
        <v>10.1801455567714</v>
      </c>
    </row>
    <row r="3" spans="1:10" ht="15.75" customHeight="1" x14ac:dyDescent="0.35">
      <c r="A3" s="4">
        <v>700</v>
      </c>
      <c r="B3" s="4" t="s">
        <v>27</v>
      </c>
      <c r="C3" s="4">
        <v>267</v>
      </c>
      <c r="D3" s="4">
        <v>6.1264286302148596</v>
      </c>
      <c r="E3" s="4">
        <v>67.129088296167197</v>
      </c>
      <c r="F3" s="4">
        <v>1.1896844205468999</v>
      </c>
      <c r="G3" s="4">
        <v>1156.60372128015</v>
      </c>
      <c r="H3" s="4">
        <v>1574.1211875220099</v>
      </c>
      <c r="I3" s="4">
        <v>653.39917733179095</v>
      </c>
      <c r="J3" s="4">
        <v>12.6571148597597</v>
      </c>
    </row>
    <row r="4" spans="1:10" ht="15.75" customHeight="1" x14ac:dyDescent="0.35">
      <c r="A4" s="5">
        <v>700</v>
      </c>
      <c r="B4" s="5" t="s">
        <v>28</v>
      </c>
      <c r="C4" s="5">
        <v>267</v>
      </c>
      <c r="D4" s="5">
        <v>6.8241077095521003</v>
      </c>
      <c r="E4" s="5">
        <v>66.654953999119797</v>
      </c>
      <c r="F4" s="5">
        <v>0.81816373393683794</v>
      </c>
      <c r="G4" s="5">
        <v>871.06288342829998</v>
      </c>
      <c r="H4" s="5">
        <v>6135.16448558921</v>
      </c>
      <c r="I4" s="5">
        <v>432.75729054203703</v>
      </c>
      <c r="J4" s="5">
        <v>7.6017387587998995</v>
      </c>
    </row>
    <row r="5" spans="1:10" ht="15.75" customHeight="1" x14ac:dyDescent="0.35">
      <c r="A5" s="4">
        <v>700</v>
      </c>
      <c r="B5" s="4" t="s">
        <v>29</v>
      </c>
      <c r="C5" s="4">
        <v>267</v>
      </c>
      <c r="D5" s="4">
        <v>3.3854629698054399</v>
      </c>
      <c r="E5" s="4">
        <v>35.493164324472403</v>
      </c>
      <c r="F5" s="4">
        <v>1.1661642321849</v>
      </c>
      <c r="G5" s="4">
        <v>178.52808892414799</v>
      </c>
      <c r="H5" s="4">
        <v>342.68542962120802</v>
      </c>
      <c r="I5" s="4">
        <v>110.072973439401</v>
      </c>
      <c r="J5" s="4">
        <v>6.6501918493202998</v>
      </c>
    </row>
    <row r="6" spans="1:10" ht="15.75" customHeight="1" x14ac:dyDescent="0.35">
      <c r="A6" s="5">
        <v>700</v>
      </c>
      <c r="B6" s="5" t="s">
        <v>30</v>
      </c>
      <c r="C6" s="5">
        <v>267</v>
      </c>
      <c r="D6" s="5">
        <v>3.3689358726947898</v>
      </c>
      <c r="E6" s="5">
        <v>34.224492901819097</v>
      </c>
      <c r="F6" s="5">
        <v>1.4418929702302701</v>
      </c>
      <c r="G6" s="5">
        <v>228.340182813251</v>
      </c>
      <c r="H6" s="5">
        <v>320.07574620889602</v>
      </c>
      <c r="I6" s="5">
        <v>133.244675753053</v>
      </c>
      <c r="J6" s="5">
        <v>8.3452286633174992</v>
      </c>
    </row>
    <row r="7" spans="1:10" ht="15.75" customHeight="1" thickBot="1" x14ac:dyDescent="0.4">
      <c r="A7" s="6">
        <v>700</v>
      </c>
      <c r="B7" s="6" t="s">
        <v>31</v>
      </c>
      <c r="C7" s="6">
        <v>267</v>
      </c>
      <c r="D7" s="6">
        <v>3.3947745743147801</v>
      </c>
      <c r="E7" s="6">
        <v>34.8187585704854</v>
      </c>
      <c r="F7" s="6">
        <v>0.92555442778970998</v>
      </c>
      <c r="G7" s="6">
        <v>126.65167992428999</v>
      </c>
      <c r="H7" s="6">
        <v>333.99731498878799</v>
      </c>
      <c r="I7" s="6">
        <v>91.712023972505307</v>
      </c>
      <c r="J7" s="6">
        <v>5.4260589791173999</v>
      </c>
    </row>
    <row r="8" spans="1:10" ht="15.75" customHeight="1" x14ac:dyDescent="0.35">
      <c r="A8" s="3">
        <v>835</v>
      </c>
      <c r="B8" s="3" t="s">
        <v>26</v>
      </c>
      <c r="C8" s="3">
        <v>228</v>
      </c>
      <c r="D8" s="3">
        <v>5.95528633993829</v>
      </c>
      <c r="E8" s="3">
        <v>61.457757357568703</v>
      </c>
      <c r="F8" s="3">
        <v>0.70182711077630899</v>
      </c>
      <c r="G8" s="3">
        <v>1267.9632185973601</v>
      </c>
      <c r="H8" s="3">
        <v>1518.5488853177401</v>
      </c>
      <c r="I8" s="3">
        <v>738.67313193715404</v>
      </c>
      <c r="J8" s="3">
        <v>11.512569646168201</v>
      </c>
    </row>
    <row r="9" spans="1:10" ht="15.75" customHeight="1" x14ac:dyDescent="0.35">
      <c r="A9" s="4">
        <v>835</v>
      </c>
      <c r="B9" s="4" t="s">
        <v>27</v>
      </c>
      <c r="C9" s="4">
        <v>228</v>
      </c>
      <c r="D9" s="4">
        <v>5.9149011484051899</v>
      </c>
      <c r="E9" s="4">
        <v>62.0761712414117</v>
      </c>
      <c r="F9" s="4">
        <v>0.79903708791810601</v>
      </c>
      <c r="G9" s="4">
        <v>1293.3587517298599</v>
      </c>
      <c r="H9" s="4">
        <v>1384.6865874611501</v>
      </c>
      <c r="I9" s="4">
        <v>747.00151339413503</v>
      </c>
      <c r="J9" s="4">
        <v>12.748823492128501</v>
      </c>
    </row>
    <row r="10" spans="1:10" ht="15.75" customHeight="1" x14ac:dyDescent="0.35">
      <c r="A10" s="5">
        <v>835</v>
      </c>
      <c r="B10" s="5" t="s">
        <v>28</v>
      </c>
      <c r="C10" s="5">
        <v>228</v>
      </c>
      <c r="D10" s="5">
        <v>5.9228648591197297</v>
      </c>
      <c r="E10" s="5">
        <v>63.223514129146899</v>
      </c>
      <c r="F10" s="5">
        <v>0.62801370548236402</v>
      </c>
      <c r="G10" s="5">
        <v>1207.8578796259101</v>
      </c>
      <c r="H10" s="5">
        <v>1704.6240929061</v>
      </c>
      <c r="I10" s="5">
        <v>685.04013090190494</v>
      </c>
      <c r="J10" s="5">
        <v>10.1814818492994</v>
      </c>
    </row>
    <row r="11" spans="1:10" ht="15.75" customHeight="1" x14ac:dyDescent="0.35">
      <c r="A11" s="4">
        <v>835</v>
      </c>
      <c r="B11" s="4" t="s">
        <v>29</v>
      </c>
      <c r="C11" s="4">
        <v>228</v>
      </c>
      <c r="D11" s="4">
        <v>2.07565615792429</v>
      </c>
      <c r="E11" s="4">
        <v>22.429214125010802</v>
      </c>
      <c r="F11" s="4">
        <v>1.18697767878381</v>
      </c>
      <c r="G11" s="4">
        <v>68.4229989122788</v>
      </c>
      <c r="H11" s="4">
        <v>144.30798302389701</v>
      </c>
      <c r="I11" s="4">
        <v>55.256334344756901</v>
      </c>
      <c r="J11" s="4">
        <v>4.9551059913700009</v>
      </c>
    </row>
    <row r="12" spans="1:10" ht="15.75" customHeight="1" x14ac:dyDescent="0.35">
      <c r="A12" s="5">
        <v>835</v>
      </c>
      <c r="B12" s="5" t="s">
        <v>30</v>
      </c>
      <c r="C12" s="5">
        <v>228</v>
      </c>
      <c r="D12" s="5">
        <v>2.0061738656828099</v>
      </c>
      <c r="E12" s="5">
        <v>21.360151605873401</v>
      </c>
      <c r="F12" s="5">
        <v>1.4599314550884299</v>
      </c>
      <c r="G12" s="5">
        <v>82.576558584259303</v>
      </c>
      <c r="H12" s="5">
        <v>130.99957988050701</v>
      </c>
      <c r="I12" s="5">
        <v>62.223940777355502</v>
      </c>
      <c r="J12" s="5">
        <v>5.6238815883274</v>
      </c>
    </row>
    <row r="13" spans="1:10" ht="15.75" customHeight="1" thickBot="1" x14ac:dyDescent="0.4">
      <c r="A13" s="6">
        <v>835</v>
      </c>
      <c r="B13" s="6" t="s">
        <v>31</v>
      </c>
      <c r="C13" s="6">
        <v>228</v>
      </c>
      <c r="D13" s="6">
        <v>2.0702421640492199</v>
      </c>
      <c r="E13" s="6">
        <v>22.8136691601668</v>
      </c>
      <c r="F13" s="6">
        <v>0.90870984893359696</v>
      </c>
      <c r="G13" s="6">
        <v>60.391140806578299</v>
      </c>
      <c r="H13" s="6">
        <v>143.23676244330201</v>
      </c>
      <c r="I13" s="6">
        <v>45.595680998380701</v>
      </c>
      <c r="J13" s="6">
        <v>4.506638673376</v>
      </c>
    </row>
    <row r="14" spans="1:10" ht="15.75" customHeight="1" x14ac:dyDescent="0.35">
      <c r="A14" s="3">
        <v>1450</v>
      </c>
      <c r="B14" s="3" t="s">
        <v>26</v>
      </c>
      <c r="C14" s="3">
        <v>106</v>
      </c>
      <c r="D14" s="3">
        <v>2.8930955048620102</v>
      </c>
      <c r="E14" s="3">
        <v>26.375605891456999</v>
      </c>
      <c r="F14" s="3">
        <v>0.115016141573037</v>
      </c>
      <c r="G14" s="3">
        <v>346.17362201680402</v>
      </c>
      <c r="H14" s="3">
        <v>1258.2604775027</v>
      </c>
      <c r="I14" s="3">
        <v>270.171489667049</v>
      </c>
      <c r="J14" s="3">
        <v>4.2618511660990999</v>
      </c>
    </row>
    <row r="15" spans="1:10" ht="15.75" customHeight="1" x14ac:dyDescent="0.35">
      <c r="A15" s="4">
        <v>1450</v>
      </c>
      <c r="B15" s="4" t="s">
        <v>27</v>
      </c>
      <c r="C15" s="4">
        <v>106</v>
      </c>
      <c r="D15" s="4">
        <v>2.91063243215293</v>
      </c>
      <c r="E15" s="4">
        <v>29.171739127635899</v>
      </c>
      <c r="F15" s="4">
        <v>0.104729579185267</v>
      </c>
      <c r="G15" s="4">
        <v>327.64249901474699</v>
      </c>
      <c r="H15" s="4">
        <v>1285.4743736446601</v>
      </c>
      <c r="I15" s="4">
        <v>233.90802266549099</v>
      </c>
      <c r="J15" s="4">
        <v>4.0025983533322993</v>
      </c>
    </row>
    <row r="16" spans="1:10" ht="15.75" customHeight="1" x14ac:dyDescent="0.35">
      <c r="A16" s="5">
        <v>1450</v>
      </c>
      <c r="B16" s="5" t="s">
        <v>28</v>
      </c>
      <c r="C16" s="5">
        <v>106</v>
      </c>
      <c r="D16" s="5">
        <v>2.8859421939225598</v>
      </c>
      <c r="E16" s="5">
        <v>25.627881576342801</v>
      </c>
      <c r="F16" s="5">
        <v>0.110861848327735</v>
      </c>
      <c r="G16" s="5">
        <v>404.045462381395</v>
      </c>
      <c r="H16" s="5">
        <v>1243.6012296247</v>
      </c>
      <c r="I16" s="5">
        <v>307.06316412368898</v>
      </c>
      <c r="J16" s="5">
        <v>4.6144596646649001</v>
      </c>
    </row>
    <row r="17" spans="1:10" ht="15.75" customHeight="1" x14ac:dyDescent="0.35">
      <c r="A17" s="4">
        <v>1450</v>
      </c>
      <c r="B17" s="4" t="s">
        <v>29</v>
      </c>
      <c r="C17" s="4">
        <v>106</v>
      </c>
      <c r="D17" s="4">
        <v>1.7757013177924601</v>
      </c>
      <c r="E17" s="4">
        <v>17.942063106733599</v>
      </c>
      <c r="F17" s="4">
        <v>8.4791189511572204E-2</v>
      </c>
      <c r="G17" s="4">
        <v>97.241513347261105</v>
      </c>
      <c r="H17" s="4">
        <v>381.30902345006598</v>
      </c>
      <c r="I17" s="4">
        <v>211.249474263754</v>
      </c>
      <c r="J17" s="4">
        <v>3.8635692538398998</v>
      </c>
    </row>
    <row r="18" spans="1:10" ht="15.75" customHeight="1" x14ac:dyDescent="0.35">
      <c r="A18" s="5">
        <v>1450</v>
      </c>
      <c r="B18" s="5" t="s">
        <v>30</v>
      </c>
      <c r="C18" s="5">
        <v>106</v>
      </c>
      <c r="D18" s="5">
        <v>1.7562057433371701</v>
      </c>
      <c r="E18" s="5">
        <v>17.2561157907876</v>
      </c>
      <c r="F18" s="5">
        <v>0.10564732876786</v>
      </c>
      <c r="G18" s="5">
        <v>116.96383817784501</v>
      </c>
      <c r="H18" s="5">
        <v>332.08251614126902</v>
      </c>
      <c r="I18" s="5">
        <v>206.18321269915899</v>
      </c>
      <c r="J18" s="5">
        <v>4.1901183625742</v>
      </c>
    </row>
    <row r="19" spans="1:10" ht="15.75" customHeight="1" thickBot="1" x14ac:dyDescent="0.4">
      <c r="A19" s="6">
        <v>1450</v>
      </c>
      <c r="B19" s="6" t="s">
        <v>31</v>
      </c>
      <c r="C19" s="6">
        <v>106</v>
      </c>
      <c r="D19" s="6">
        <v>1.8162415777910801</v>
      </c>
      <c r="E19" s="6">
        <v>17.954865303576401</v>
      </c>
      <c r="F19" s="6">
        <v>8.3209151081752294E-2</v>
      </c>
      <c r="G19" s="6">
        <v>80.092032348012097</v>
      </c>
      <c r="H19" s="6">
        <v>451.92398782993598</v>
      </c>
      <c r="I19" s="6">
        <v>204.66174998621401</v>
      </c>
      <c r="J19" s="6">
        <v>3.6374786974579001</v>
      </c>
    </row>
    <row r="20" spans="1:10" ht="15.75" customHeight="1" x14ac:dyDescent="0.35">
      <c r="A20" s="3">
        <v>2140</v>
      </c>
      <c r="B20" s="3" t="s">
        <v>26</v>
      </c>
      <c r="C20" s="3">
        <v>78</v>
      </c>
      <c r="D20" s="3">
        <v>2.0281314652855502</v>
      </c>
      <c r="E20" s="3">
        <v>19.502383839766399</v>
      </c>
      <c r="F20" s="3">
        <v>2.8202496984208798E-2</v>
      </c>
      <c r="G20" s="3">
        <v>303.475503327718</v>
      </c>
      <c r="H20" s="3">
        <v>1143.3720638521499</v>
      </c>
      <c r="I20" s="3">
        <v>196.34224116361699</v>
      </c>
      <c r="J20" s="3">
        <v>1.7845187124283002</v>
      </c>
    </row>
    <row r="21" spans="1:10" ht="15.75" customHeight="1" x14ac:dyDescent="0.35">
      <c r="A21" s="4">
        <v>2140</v>
      </c>
      <c r="B21" s="4" t="s">
        <v>27</v>
      </c>
      <c r="C21" s="4">
        <v>78</v>
      </c>
      <c r="D21" s="4">
        <v>2.0528291698916399</v>
      </c>
      <c r="E21" s="4">
        <v>19.9516926062803</v>
      </c>
      <c r="F21" s="4">
        <v>3.22582743554874E-2</v>
      </c>
      <c r="G21" s="4">
        <v>248.65480120427301</v>
      </c>
      <c r="H21" s="4">
        <v>1185.5874137917201</v>
      </c>
      <c r="I21" s="4">
        <v>163.10884246546601</v>
      </c>
      <c r="J21" s="4">
        <v>1.5616321662716002</v>
      </c>
    </row>
    <row r="22" spans="1:10" ht="15.75" customHeight="1" x14ac:dyDescent="0.35">
      <c r="A22" s="5">
        <v>2140</v>
      </c>
      <c r="B22" s="5" t="s">
        <v>28</v>
      </c>
      <c r="C22" s="5">
        <v>78</v>
      </c>
      <c r="D22" s="5">
        <v>2.0155886262203802</v>
      </c>
      <c r="E22" s="5">
        <v>21.219944434753</v>
      </c>
      <c r="F22" s="5">
        <v>3.03666079038E-2</v>
      </c>
      <c r="G22" s="5">
        <v>363.89730961101498</v>
      </c>
      <c r="H22" s="5">
        <v>1183.3773139146799</v>
      </c>
      <c r="I22" s="5">
        <v>240.74167269887801</v>
      </c>
      <c r="J22" s="5">
        <v>2.0219374778375001</v>
      </c>
    </row>
    <row r="23" spans="1:10" ht="15.75" customHeight="1" x14ac:dyDescent="0.35">
      <c r="A23" s="4">
        <v>2140</v>
      </c>
      <c r="B23" s="4" t="s">
        <v>29</v>
      </c>
      <c r="C23" s="4">
        <v>78</v>
      </c>
      <c r="D23" s="4">
        <v>1.17809558628832</v>
      </c>
      <c r="E23" s="4">
        <v>13.4617135566615</v>
      </c>
      <c r="F23" s="4">
        <v>4.9326232052557803E-2</v>
      </c>
      <c r="G23" s="4">
        <v>81.642934083747505</v>
      </c>
      <c r="H23" s="4">
        <v>433.61096513695401</v>
      </c>
      <c r="I23" s="4">
        <v>129.061406873414</v>
      </c>
      <c r="J23" s="4">
        <v>1.4353434527471001</v>
      </c>
    </row>
    <row r="24" spans="1:10" ht="15.75" customHeight="1" x14ac:dyDescent="0.35">
      <c r="A24" s="5">
        <v>2140</v>
      </c>
      <c r="B24" s="5" t="s">
        <v>30</v>
      </c>
      <c r="C24" s="5">
        <v>78</v>
      </c>
      <c r="D24" s="5">
        <v>1.14598696261019</v>
      </c>
      <c r="E24" s="5">
        <v>12.1478368966904</v>
      </c>
      <c r="F24" s="5">
        <v>8.3116415485207901E-2</v>
      </c>
      <c r="G24" s="5">
        <v>91.116775853135493</v>
      </c>
      <c r="H24" s="5">
        <v>399.580212412533</v>
      </c>
      <c r="I24" s="5">
        <v>131.39945387171599</v>
      </c>
      <c r="J24" s="5">
        <v>1.5157049573204</v>
      </c>
    </row>
    <row r="25" spans="1:10" ht="15.75" customHeight="1" thickBot="1" x14ac:dyDescent="0.4">
      <c r="A25" s="6">
        <v>2140</v>
      </c>
      <c r="B25" s="6" t="s">
        <v>31</v>
      </c>
      <c r="C25" s="6">
        <v>78</v>
      </c>
      <c r="D25" s="6">
        <v>1.2084259264275601</v>
      </c>
      <c r="E25" s="6">
        <v>13.1246767324542</v>
      </c>
      <c r="F25" s="6">
        <v>2.8763369380170101E-2</v>
      </c>
      <c r="G25" s="6">
        <v>72.029028618811594</v>
      </c>
      <c r="H25" s="6">
        <v>452.42520999024498</v>
      </c>
      <c r="I25" s="6">
        <v>124.95609731588701</v>
      </c>
      <c r="J25" s="6">
        <v>1.3655210568739999</v>
      </c>
    </row>
    <row r="26" spans="1:10" ht="15.75" customHeight="1" x14ac:dyDescent="0.35">
      <c r="A26" s="3">
        <v>2450</v>
      </c>
      <c r="B26" s="3" t="s">
        <v>26</v>
      </c>
      <c r="C26" s="3">
        <v>74</v>
      </c>
      <c r="D26" s="3">
        <v>1.91373119063816</v>
      </c>
      <c r="E26" s="3">
        <v>19.499045737157701</v>
      </c>
      <c r="F26" s="3">
        <v>2.63310086189146E-2</v>
      </c>
      <c r="G26" s="3">
        <v>222.44907434859601</v>
      </c>
      <c r="H26" s="3">
        <v>1230.9324856767701</v>
      </c>
      <c r="I26" s="3">
        <v>169.82856796358601</v>
      </c>
      <c r="J26" s="3">
        <v>1.2130776244987</v>
      </c>
    </row>
    <row r="27" spans="1:10" ht="15.75" customHeight="1" x14ac:dyDescent="0.35">
      <c r="A27" s="4">
        <v>2450</v>
      </c>
      <c r="B27" s="4" t="s">
        <v>27</v>
      </c>
      <c r="C27" s="4">
        <v>74</v>
      </c>
      <c r="D27" s="4">
        <v>1.9407273169456301</v>
      </c>
      <c r="E27" s="4">
        <v>19.881860248234101</v>
      </c>
      <c r="F27" s="4">
        <v>2.5036523507998398E-2</v>
      </c>
      <c r="G27" s="4">
        <v>181.178828285593</v>
      </c>
      <c r="H27" s="4">
        <v>1402.73642392897</v>
      </c>
      <c r="I27" s="4">
        <v>139.29472057197901</v>
      </c>
      <c r="J27" s="4">
        <v>1.0626104464818</v>
      </c>
    </row>
    <row r="28" spans="1:10" ht="15.75" customHeight="1" x14ac:dyDescent="0.35">
      <c r="A28" s="5">
        <v>2450</v>
      </c>
      <c r="B28" s="5" t="s">
        <v>28</v>
      </c>
      <c r="C28" s="5">
        <v>74</v>
      </c>
      <c r="D28" s="5">
        <v>1.89698727919884</v>
      </c>
      <c r="E28" s="5">
        <v>17.257417116464701</v>
      </c>
      <c r="F28" s="5">
        <v>2.269555065553E-2</v>
      </c>
      <c r="G28" s="5">
        <v>249.47108994382799</v>
      </c>
      <c r="H28" s="5">
        <v>1177.8910400989801</v>
      </c>
      <c r="I28" s="5">
        <v>208.899869924792</v>
      </c>
      <c r="J28" s="5">
        <v>1.3826374852010999</v>
      </c>
    </row>
    <row r="29" spans="1:10" ht="15.75" customHeight="1" x14ac:dyDescent="0.35">
      <c r="A29" s="4">
        <v>2450</v>
      </c>
      <c r="B29" s="4" t="s">
        <v>29</v>
      </c>
      <c r="C29" s="4">
        <v>74</v>
      </c>
      <c r="D29" s="4">
        <v>1.05700606588863</v>
      </c>
      <c r="E29" s="4">
        <v>10.358297184986901</v>
      </c>
      <c r="F29" s="4">
        <v>2.0642083811055301E-2</v>
      </c>
      <c r="G29" s="4">
        <v>72.517559125960304</v>
      </c>
      <c r="H29" s="4">
        <v>406.46588140464797</v>
      </c>
      <c r="I29" s="4">
        <v>119.909636771645</v>
      </c>
      <c r="J29" s="4">
        <v>1.0971976083258999</v>
      </c>
    </row>
    <row r="30" spans="1:10" ht="15.75" customHeight="1" x14ac:dyDescent="0.35">
      <c r="A30" s="5">
        <v>2450</v>
      </c>
      <c r="B30" s="5" t="s">
        <v>30</v>
      </c>
      <c r="C30" s="5">
        <v>74</v>
      </c>
      <c r="D30" s="5">
        <v>1.02432258042663</v>
      </c>
      <c r="E30" s="5">
        <v>10.4220339187556</v>
      </c>
      <c r="F30" s="5">
        <v>5.2201366203255002E-2</v>
      </c>
      <c r="G30" s="5">
        <v>75.533466425510298</v>
      </c>
      <c r="H30" s="5">
        <v>376.20417621264602</v>
      </c>
      <c r="I30" s="5">
        <v>127.77234955804001</v>
      </c>
      <c r="J30" s="5">
        <v>1.1532915226062999</v>
      </c>
    </row>
    <row r="31" spans="1:10" ht="15.75" customHeight="1" thickBot="1" x14ac:dyDescent="0.4">
      <c r="A31" s="6">
        <v>2450</v>
      </c>
      <c r="B31" s="6" t="s">
        <v>31</v>
      </c>
      <c r="C31" s="6">
        <v>74</v>
      </c>
      <c r="D31" s="6">
        <v>1.08899935794355</v>
      </c>
      <c r="E31" s="6">
        <v>11.7912252155799</v>
      </c>
      <c r="F31" s="6">
        <v>1.58525885396897E-2</v>
      </c>
      <c r="G31" s="6">
        <v>58.819590783801601</v>
      </c>
      <c r="H31" s="6">
        <v>424.04531453922601</v>
      </c>
      <c r="I31" s="6">
        <v>121.52591806519</v>
      </c>
      <c r="J31" s="6">
        <v>1.0408106918222</v>
      </c>
    </row>
    <row r="32" spans="1:10" ht="15.75" customHeight="1" x14ac:dyDescent="0.35">
      <c r="A32" s="3">
        <v>3500</v>
      </c>
      <c r="B32" s="3" t="s">
        <v>26</v>
      </c>
      <c r="C32" s="3">
        <v>55</v>
      </c>
      <c r="D32" s="3">
        <v>1.3198357069461999</v>
      </c>
      <c r="E32" s="3">
        <v>10.699687384415601</v>
      </c>
      <c r="F32" s="3">
        <v>2.0351483907590898E-2</v>
      </c>
      <c r="G32" s="3">
        <v>56.2078996432992</v>
      </c>
      <c r="H32" s="3">
        <v>1386.20371115069</v>
      </c>
      <c r="I32" s="3">
        <v>74.279386035920794</v>
      </c>
      <c r="J32" s="3">
        <v>0.1675144589733</v>
      </c>
    </row>
    <row r="33" spans="1:10" ht="15.75" customHeight="1" x14ac:dyDescent="0.35">
      <c r="A33" s="4">
        <v>3500</v>
      </c>
      <c r="B33" s="4" t="s">
        <v>27</v>
      </c>
      <c r="C33" s="4">
        <v>55</v>
      </c>
      <c r="D33" s="4">
        <v>1.36527311598862</v>
      </c>
      <c r="E33" s="4">
        <v>11.578781870460899</v>
      </c>
      <c r="F33" s="4">
        <v>2.2869892090649602E-2</v>
      </c>
      <c r="G33" s="4">
        <v>60.081447813964402</v>
      </c>
      <c r="H33" s="4">
        <v>1521.8817456495501</v>
      </c>
      <c r="I33" s="4">
        <v>55.886065117000797</v>
      </c>
      <c r="J33" s="4">
        <v>0.1376362914666</v>
      </c>
    </row>
    <row r="34" spans="1:10" ht="15.75" customHeight="1" x14ac:dyDescent="0.35">
      <c r="A34" s="5">
        <v>3500</v>
      </c>
      <c r="B34" s="5" t="s">
        <v>28</v>
      </c>
      <c r="C34" s="5">
        <v>55</v>
      </c>
      <c r="D34" s="5">
        <v>1.2816111884977599</v>
      </c>
      <c r="E34" s="5">
        <v>11.8040347451445</v>
      </c>
      <c r="F34" s="5">
        <v>1.9748290752723E-2</v>
      </c>
      <c r="G34" s="5">
        <v>61.647862099266199</v>
      </c>
      <c r="H34" s="5">
        <v>1264.57062546417</v>
      </c>
      <c r="I34" s="5">
        <v>97.731674533050693</v>
      </c>
      <c r="J34" s="5">
        <v>0.2063246468247</v>
      </c>
    </row>
    <row r="35" spans="1:10" ht="15.75" customHeight="1" x14ac:dyDescent="0.35">
      <c r="A35" s="4">
        <v>3500</v>
      </c>
      <c r="B35" s="4" t="s">
        <v>29</v>
      </c>
      <c r="C35" s="4">
        <v>55</v>
      </c>
      <c r="D35" s="4">
        <v>0.61547264313956895</v>
      </c>
      <c r="E35" s="4">
        <v>6.5320295390437897</v>
      </c>
      <c r="F35" s="4">
        <v>1.2868424534867201E-2</v>
      </c>
      <c r="G35" s="4">
        <v>42.200385225395003</v>
      </c>
      <c r="H35" s="4">
        <v>289.65045784325002</v>
      </c>
      <c r="I35" s="4">
        <v>77.250567623244194</v>
      </c>
      <c r="J35" s="4">
        <v>0.35117743009489999</v>
      </c>
    </row>
    <row r="36" spans="1:10" ht="15.75" customHeight="1" x14ac:dyDescent="0.35">
      <c r="A36" s="5">
        <v>3500</v>
      </c>
      <c r="B36" s="5" t="s">
        <v>30</v>
      </c>
      <c r="C36" s="5">
        <v>55</v>
      </c>
      <c r="D36" s="5">
        <v>0.604261789396211</v>
      </c>
      <c r="E36" s="5">
        <v>6.7042846625816601</v>
      </c>
      <c r="F36" s="5">
        <v>1.19146516995823E-2</v>
      </c>
      <c r="G36" s="5">
        <v>40.816058823718699</v>
      </c>
      <c r="H36" s="5">
        <v>238.91006527284</v>
      </c>
      <c r="I36" s="5">
        <v>81.161728888999093</v>
      </c>
      <c r="J36" s="5">
        <v>0.39846299383759998</v>
      </c>
    </row>
    <row r="37" spans="1:10" ht="15.75" customHeight="1" thickBot="1" x14ac:dyDescent="0.4">
      <c r="A37" s="6">
        <v>3500</v>
      </c>
      <c r="B37" s="6" t="s">
        <v>31</v>
      </c>
      <c r="C37" s="6">
        <v>55</v>
      </c>
      <c r="D37" s="6">
        <v>0.629595013031504</v>
      </c>
      <c r="E37" s="6">
        <v>6.3387134376612604</v>
      </c>
      <c r="F37" s="6">
        <v>1.28351786183812E-2</v>
      </c>
      <c r="G37" s="6">
        <v>39.852942920357101</v>
      </c>
      <c r="H37" s="6">
        <v>329.84444967691002</v>
      </c>
      <c r="I37" s="6">
        <v>66.522051553615398</v>
      </c>
      <c r="J37" s="6">
        <v>0.30566815918000001</v>
      </c>
    </row>
    <row r="38" spans="1:10" ht="15.75" customHeight="1" x14ac:dyDescent="0.35">
      <c r="A38" s="3">
        <v>5200</v>
      </c>
      <c r="B38" s="3" t="s">
        <v>26</v>
      </c>
      <c r="C38" s="3">
        <v>53</v>
      </c>
      <c r="D38" s="3">
        <v>0.87862187849897</v>
      </c>
      <c r="E38" s="3">
        <v>7.26988177235188</v>
      </c>
      <c r="F38" s="3">
        <v>2.8816605723714899E-2</v>
      </c>
      <c r="G38" s="3">
        <v>36.703096977734099</v>
      </c>
      <c r="H38" s="3">
        <v>1145.40275082834</v>
      </c>
      <c r="I38" s="3">
        <v>12.461183774928299</v>
      </c>
      <c r="J38" s="3">
        <v>2.2979658867702389E-2</v>
      </c>
    </row>
    <row r="39" spans="1:10" ht="15.75" customHeight="1" x14ac:dyDescent="0.35">
      <c r="A39" s="4">
        <v>5200</v>
      </c>
      <c r="B39" s="4" t="s">
        <v>27</v>
      </c>
      <c r="C39" s="4">
        <v>53</v>
      </c>
      <c r="D39" s="4">
        <v>0.94799650900967303</v>
      </c>
      <c r="E39" s="4">
        <v>7.8714421349758696</v>
      </c>
      <c r="F39" s="4">
        <v>2.8365955590584701E-2</v>
      </c>
      <c r="G39" s="4">
        <v>35.930881883759902</v>
      </c>
      <c r="H39" s="4">
        <v>1434.28837899933</v>
      </c>
      <c r="I39" s="4">
        <v>10.926825933301901</v>
      </c>
      <c r="J39" s="4">
        <v>2.2344302260283912E-2</v>
      </c>
    </row>
    <row r="40" spans="1:10" ht="15.75" customHeight="1" x14ac:dyDescent="0.35">
      <c r="A40" s="5">
        <v>5200</v>
      </c>
      <c r="B40" s="5" t="s">
        <v>28</v>
      </c>
      <c r="C40" s="5">
        <v>53</v>
      </c>
      <c r="D40" s="5">
        <v>0.83812839890647195</v>
      </c>
      <c r="E40" s="5">
        <v>6.4161839652908697</v>
      </c>
      <c r="F40" s="5">
        <v>2.688181802635E-2</v>
      </c>
      <c r="G40" s="5">
        <v>37.440085802018899</v>
      </c>
      <c r="H40" s="5">
        <v>935.31035281733296</v>
      </c>
      <c r="I40" s="5">
        <v>16.1857584595734</v>
      </c>
      <c r="J40" s="5">
        <v>2.3149145165888976E-2</v>
      </c>
    </row>
    <row r="41" spans="1:10" ht="15.75" customHeight="1" x14ac:dyDescent="0.35">
      <c r="A41" s="4">
        <v>5200</v>
      </c>
      <c r="B41" s="4" t="s">
        <v>29</v>
      </c>
      <c r="C41" s="4">
        <v>53</v>
      </c>
      <c r="D41" s="4">
        <v>0.42002338611901102</v>
      </c>
      <c r="E41" s="4">
        <v>4.6592926449421199</v>
      </c>
      <c r="F41" s="4">
        <v>1.65666682058619E-2</v>
      </c>
      <c r="G41" s="4">
        <v>30.461076994896601</v>
      </c>
      <c r="H41" s="4">
        <v>257.70755030868003</v>
      </c>
      <c r="I41" s="4">
        <v>45.1041996486559</v>
      </c>
      <c r="J41" s="4">
        <v>7.2167586934985622E-2</v>
      </c>
    </row>
    <row r="42" spans="1:10" ht="15.75" customHeight="1" x14ac:dyDescent="0.35">
      <c r="A42" s="5">
        <v>5200</v>
      </c>
      <c r="B42" s="5" t="s">
        <v>30</v>
      </c>
      <c r="C42" s="5">
        <v>53</v>
      </c>
      <c r="D42" s="5">
        <v>0.41037414094962599</v>
      </c>
      <c r="E42" s="5">
        <v>4.7887035830244402</v>
      </c>
      <c r="F42" s="5">
        <v>1.5954595803893201E-2</v>
      </c>
      <c r="G42" s="5">
        <v>24.245257559009701</v>
      </c>
      <c r="H42" s="5">
        <v>222.679512809941</v>
      </c>
      <c r="I42" s="5">
        <v>47.086210964328501</v>
      </c>
      <c r="J42" s="5">
        <v>8.8760844852943249E-2</v>
      </c>
    </row>
    <row r="43" spans="1:10" ht="15.75" customHeight="1" thickBot="1" x14ac:dyDescent="0.4">
      <c r="A43" s="6">
        <v>5200</v>
      </c>
      <c r="B43" s="6" t="s">
        <v>31</v>
      </c>
      <c r="C43" s="6">
        <v>53</v>
      </c>
      <c r="D43" s="6">
        <v>0.42207349953470302</v>
      </c>
      <c r="E43" s="6">
        <v>4.5932735165787699</v>
      </c>
      <c r="F43" s="6">
        <v>1.5566811444157801E-2</v>
      </c>
      <c r="G43" s="6">
        <v>33.807743957767002</v>
      </c>
      <c r="H43" s="6">
        <v>280.14184894853997</v>
      </c>
      <c r="I43" s="6">
        <v>31.118784678460901</v>
      </c>
      <c r="J43" s="6">
        <v>5.6726684838393444E-2</v>
      </c>
    </row>
    <row r="44" spans="1:10" ht="15.75" customHeight="1" x14ac:dyDescent="0.35">
      <c r="A44" s="3">
        <v>5800</v>
      </c>
      <c r="B44" s="3" t="s">
        <v>26</v>
      </c>
      <c r="C44" s="3">
        <v>54</v>
      </c>
      <c r="D44" s="3">
        <v>0.807018061476655</v>
      </c>
      <c r="E44" s="3">
        <v>6.3213222899841597</v>
      </c>
      <c r="F44" s="3">
        <v>2.19447509731911E-2</v>
      </c>
      <c r="G44" s="3">
        <v>40.414732339187502</v>
      </c>
      <c r="H44" s="3">
        <v>985.35755797317199</v>
      </c>
      <c r="I44" s="3">
        <v>14.716143331765</v>
      </c>
      <c r="J44" s="3">
        <v>1.5627131786701162E-2</v>
      </c>
    </row>
    <row r="45" spans="1:10" ht="15.75" customHeight="1" x14ac:dyDescent="0.35">
      <c r="A45" s="4">
        <v>5800</v>
      </c>
      <c r="B45" s="4" t="s">
        <v>27</v>
      </c>
      <c r="C45" s="4">
        <v>54</v>
      </c>
      <c r="D45" s="4">
        <v>0.86096666194666605</v>
      </c>
      <c r="E45" s="4">
        <v>7.1545830370827801</v>
      </c>
      <c r="F45" s="4">
        <v>2.18000330732557E-2</v>
      </c>
      <c r="G45" s="4">
        <v>38.256575083568997</v>
      </c>
      <c r="H45" s="4">
        <v>1226.2541403320899</v>
      </c>
      <c r="I45" s="4">
        <v>12.1443625639704</v>
      </c>
      <c r="J45" s="4">
        <v>1.479460049242769E-2</v>
      </c>
    </row>
    <row r="46" spans="1:10" ht="15.75" customHeight="1" x14ac:dyDescent="0.35">
      <c r="A46" s="5">
        <v>5800</v>
      </c>
      <c r="B46" s="5" t="s">
        <v>28</v>
      </c>
      <c r="C46" s="5">
        <v>54</v>
      </c>
      <c r="D46" s="5">
        <v>0.77407068245201904</v>
      </c>
      <c r="E46" s="5">
        <v>5.9724958637174597</v>
      </c>
      <c r="F46" s="5">
        <v>1.9669196418014401E-2</v>
      </c>
      <c r="G46" s="5">
        <v>51.789757270605101</v>
      </c>
      <c r="H46" s="5">
        <v>832.49194361226796</v>
      </c>
      <c r="I46" s="5">
        <v>17.882368475269001</v>
      </c>
      <c r="J46" s="5">
        <v>1.526931232347232E-2</v>
      </c>
    </row>
    <row r="47" spans="1:10" ht="15.75" customHeight="1" x14ac:dyDescent="0.35">
      <c r="A47" s="4">
        <v>5800</v>
      </c>
      <c r="B47" s="4" t="s">
        <v>29</v>
      </c>
      <c r="C47" s="4">
        <v>54</v>
      </c>
      <c r="D47" s="4">
        <v>0.41903386862895903</v>
      </c>
      <c r="E47" s="4">
        <v>4.46438285575781</v>
      </c>
      <c r="F47" s="4">
        <v>1.45475773312271E-2</v>
      </c>
      <c r="G47" s="4">
        <v>26.799430921273402</v>
      </c>
      <c r="H47" s="4">
        <v>279.47495354330403</v>
      </c>
      <c r="I47" s="4">
        <v>42.210294023072599</v>
      </c>
      <c r="J47" s="4">
        <v>4.0465372570590602E-2</v>
      </c>
    </row>
    <row r="48" spans="1:10" ht="15.75" customHeight="1" x14ac:dyDescent="0.35">
      <c r="A48" s="5">
        <v>5800</v>
      </c>
      <c r="B48" s="5" t="s">
        <v>30</v>
      </c>
      <c r="C48" s="5">
        <v>54</v>
      </c>
      <c r="D48" s="5">
        <v>0.40905028973851199</v>
      </c>
      <c r="E48" s="5">
        <v>4.7215076443214699</v>
      </c>
      <c r="F48" s="5">
        <v>1.28971438738738E-2</v>
      </c>
      <c r="G48" s="5">
        <v>21.3370429132287</v>
      </c>
      <c r="H48" s="5">
        <v>240.27576031650599</v>
      </c>
      <c r="I48" s="5">
        <v>48.412624866732997</v>
      </c>
      <c r="J48" s="5">
        <v>5.2589668439490894E-2</v>
      </c>
    </row>
    <row r="49" spans="1:10" ht="15.75" customHeight="1" thickBot="1" x14ac:dyDescent="0.4">
      <c r="A49" s="6">
        <v>5800</v>
      </c>
      <c r="B49" s="6" t="s">
        <v>31</v>
      </c>
      <c r="C49" s="6">
        <v>54</v>
      </c>
      <c r="D49" s="6">
        <v>0.41760943470493</v>
      </c>
      <c r="E49" s="6">
        <v>4.2802013123156</v>
      </c>
      <c r="F49" s="6">
        <v>1.37740743297835E-2</v>
      </c>
      <c r="G49" s="6">
        <v>29.257561270617799</v>
      </c>
      <c r="H49" s="6">
        <v>306.11755444587902</v>
      </c>
      <c r="I49" s="6">
        <v>35.544679237250897</v>
      </c>
      <c r="J49" s="6">
        <v>3.1514015887393942E-2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9"/>
  <sheetViews>
    <sheetView zoomScale="87" zoomScaleNormal="248" workbookViewId="0">
      <selection activeCell="B58" sqref="B58"/>
    </sheetView>
  </sheetViews>
  <sheetFormatPr defaultColWidth="8.81640625" defaultRowHeight="14.5" x14ac:dyDescent="0.35"/>
  <cols>
    <col min="1" max="1" width="14" customWidth="1"/>
    <col min="2" max="2" width="27.81640625" customWidth="1"/>
    <col min="3" max="3" width="25.36328125" customWidth="1"/>
    <col min="4" max="4" width="25.6328125" customWidth="1"/>
    <col min="5" max="5" width="19" customWidth="1"/>
    <col min="6" max="6" width="33.36328125" customWidth="1"/>
    <col min="7" max="9" width="39.36328125" customWidth="1"/>
    <col min="10" max="10" width="26.81640625" customWidth="1"/>
  </cols>
  <sheetData>
    <row r="1" spans="1:10" ht="16.5" customHeight="1" thickBot="1" x14ac:dyDescent="0.4">
      <c r="A1" s="1" t="s">
        <v>0</v>
      </c>
      <c r="B1" s="1" t="s">
        <v>1</v>
      </c>
      <c r="C1" s="2" t="s">
        <v>17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32</v>
      </c>
    </row>
    <row r="2" spans="1:10" ht="14.25" customHeight="1" x14ac:dyDescent="0.35">
      <c r="A2" s="3">
        <v>700</v>
      </c>
      <c r="B2" s="3" t="s">
        <v>26</v>
      </c>
      <c r="C2" s="3">
        <v>1</v>
      </c>
      <c r="D2" s="3">
        <f>Table6[[#This Row],[SAR_wholebody (mW/kg)]]*10^3/Table6[[#This Row],[Input Power (mW)]]</f>
        <v>22.843238929493332</v>
      </c>
      <c r="E2" s="3">
        <f>Table6[[#This Row],[SAR_head (mW/kg)]]*10^3/Table6[[#This Row],[Input Power (mW)]]</f>
        <v>241.12929680815617</v>
      </c>
      <c r="F2" s="3">
        <f>Table6[[#This Row],[SAR_trunk (mW/kg)]]*10^3/Table6[[#This Row],[Input Power (mW)]]</f>
        <v>3.9001857544667415</v>
      </c>
      <c r="G2" s="3">
        <f>Table6[[#This Row],[psSAR10g_eyes (mW/kg)]]*10^3/Table6[[#This Row],[Input Power (mW)]]</f>
        <v>3865.9987816795883</v>
      </c>
      <c r="H2" s="3">
        <f>Table6[[#This Row],[psSAR10g_skin (mW/kg)]]*10^3/Table6[[#This Row],[Input Power (mW)]]</f>
        <v>9194.8817941308243</v>
      </c>
      <c r="I2" s="3">
        <f>Table6[[#This Row],[psSAR10g_brain (mW/kg)]]*10^3/Table6[[#This Row],[Input Power (mW)]]</f>
        <v>2133.0889107145654</v>
      </c>
      <c r="J2" s="3">
        <f>Table6[[#This Row],[SAR_brain (mW/kg)]]*10^3/Table6[[#This Row],[Input Power (mW)]]</f>
        <v>38.127885980417226</v>
      </c>
    </row>
    <row r="3" spans="1:10" ht="15.75" customHeight="1" x14ac:dyDescent="0.35">
      <c r="A3" s="4">
        <v>700</v>
      </c>
      <c r="B3" s="4" t="s">
        <v>27</v>
      </c>
      <c r="C3" s="4">
        <v>1</v>
      </c>
      <c r="D3" s="4">
        <f>Table6[[#This Row],[SAR_wholebody (mW/kg)]]*10^3/Table6[[#This Row],[Input Power (mW)]]</f>
        <v>22.945425581329062</v>
      </c>
      <c r="E3" s="4">
        <f>Table6[[#This Row],[SAR_head (mW/kg)]]*10^3/Table6[[#This Row],[Input Power (mW)]]</f>
        <v>251.41980635268615</v>
      </c>
      <c r="F3" s="4">
        <f>Table6[[#This Row],[SAR_trunk (mW/kg)]]*10^3/Table6[[#This Row],[Input Power (mW)]]</f>
        <v>4.4557468934340818</v>
      </c>
      <c r="G3" s="4">
        <f>Table6[[#This Row],[psSAR10g_eyes (mW/kg)]]*10^3/Table6[[#This Row],[Input Power (mW)]]</f>
        <v>4331.8491433713489</v>
      </c>
      <c r="H3" s="4">
        <f>Table6[[#This Row],[psSAR10g_skin (mW/kg)]]*10^3/Table6[[#This Row],[Input Power (mW)]]</f>
        <v>5895.5849719925463</v>
      </c>
      <c r="I3" s="4">
        <f>Table6[[#This Row],[psSAR10g_brain (mW/kg)]]*10^3/Table6[[#This Row],[Input Power (mW)]]</f>
        <v>2447.187930081614</v>
      </c>
      <c r="J3" s="4">
        <f>Table6[[#This Row],[SAR_brain (mW/kg)]]*10^3/Table6[[#This Row],[Input Power (mW)]]</f>
        <v>47.404924568388388</v>
      </c>
    </row>
    <row r="4" spans="1:10" ht="15.75" customHeight="1" x14ac:dyDescent="0.35">
      <c r="A4" s="5">
        <v>700</v>
      </c>
      <c r="B4" s="5" t="s">
        <v>28</v>
      </c>
      <c r="C4" s="5">
        <v>1</v>
      </c>
      <c r="D4" s="5">
        <f>Table6[[#This Row],[SAR_wholebody (mW/kg)]]*10^3/Table6[[#This Row],[Input Power (mW)]]</f>
        <v>25.558455841019104</v>
      </c>
      <c r="E4" s="5">
        <f>Table6[[#This Row],[SAR_head (mW/kg)]]*10^3/Table6[[#This Row],[Input Power (mW)]]</f>
        <v>249.64402246861346</v>
      </c>
      <c r="F4" s="5">
        <f>Table6[[#This Row],[SAR_trunk (mW/kg)]]*10^3/Table6[[#This Row],[Input Power (mW)]]</f>
        <v>3.0642836477035131</v>
      </c>
      <c r="G4" s="5">
        <f>Table6[[#This Row],[psSAR10g_eyes (mW/kg)]]*10^3/Table6[[#This Row],[Input Power (mW)]]</f>
        <v>3262.4078031022473</v>
      </c>
      <c r="H4" s="5">
        <f>Table6[[#This Row],[psSAR10g_skin (mW/kg)]]*10^3/Table6[[#This Row],[Input Power (mW)]]</f>
        <v>22978.144140783559</v>
      </c>
      <c r="I4" s="5">
        <f>Table6[[#This Row],[psSAR10g_brain (mW/kg)]]*10^3/Table6[[#This Row],[Input Power (mW)]]</f>
        <v>1620.8138222548205</v>
      </c>
      <c r="J4" s="5">
        <f>Table6[[#This Row],[SAR_brain (mW/kg)]]*10^3/Table6[[#This Row],[Input Power (mW)]]</f>
        <v>28.470931680898499</v>
      </c>
    </row>
    <row r="5" spans="1:10" ht="15.75" customHeight="1" x14ac:dyDescent="0.35">
      <c r="A5" s="4">
        <v>700</v>
      </c>
      <c r="B5" s="4" t="s">
        <v>29</v>
      </c>
      <c r="C5" s="4">
        <v>1</v>
      </c>
      <c r="D5" s="4">
        <f>Table6[[#This Row],[SAR_wholebody (mW/kg)]]*10^3/Table6[[#This Row],[Input Power (mW)]]</f>
        <v>12.67963659103161</v>
      </c>
      <c r="E5" s="4">
        <f>Table6[[#This Row],[SAR_head (mW/kg)]]*10^3/Table6[[#This Row],[Input Power (mW)]]</f>
        <v>132.93319971712512</v>
      </c>
      <c r="F5" s="4">
        <f>Table6[[#This Row],[SAR_trunk (mW/kg)]]*10^3/Table6[[#This Row],[Input Power (mW)]]</f>
        <v>4.3676563003179769</v>
      </c>
      <c r="G5" s="4">
        <f>Table6[[#This Row],[psSAR10g_eyes (mW/kg)]]*10^3/Table6[[#This Row],[Input Power (mW)]]</f>
        <v>668.64452780579779</v>
      </c>
      <c r="H5" s="4">
        <f>Table6[[#This Row],[psSAR10g_skin (mW/kg)]]*10^3/Table6[[#This Row],[Input Power (mW)]]</f>
        <v>1283.4660285438501</v>
      </c>
      <c r="I5" s="4">
        <f>Table6[[#This Row],[psSAR10g_brain (mW/kg)]]*10^3/Table6[[#This Row],[Input Power (mW)]]</f>
        <v>412.25832748839326</v>
      </c>
      <c r="J5" s="4">
        <f>Table6[[#This Row],[SAR_brain (mW/kg)]]*10^3/Table6[[#This Row],[Input Power (mW)]]</f>
        <v>24.907085577978652</v>
      </c>
    </row>
    <row r="6" spans="1:10" ht="15.75" customHeight="1" x14ac:dyDescent="0.35">
      <c r="A6" s="5">
        <v>700</v>
      </c>
      <c r="B6" s="5" t="s">
        <v>30</v>
      </c>
      <c r="C6" s="5">
        <v>1</v>
      </c>
      <c r="D6" s="5">
        <f>Table6[[#This Row],[SAR_wholebody (mW/kg)]]*10^3/Table6[[#This Row],[Input Power (mW)]]</f>
        <v>12.617737350916816</v>
      </c>
      <c r="E6" s="5">
        <f>Table6[[#This Row],[SAR_head (mW/kg)]]*10^3/Table6[[#This Row],[Input Power (mW)]]</f>
        <v>128.1816213551277</v>
      </c>
      <c r="F6" s="5">
        <f>Table6[[#This Row],[SAR_trunk (mW/kg)]]*10^3/Table6[[#This Row],[Input Power (mW)]]</f>
        <v>5.4003482031096262</v>
      </c>
      <c r="G6" s="5">
        <f>Table6[[#This Row],[psSAR10g_eyes (mW/kg)]]*10^3/Table6[[#This Row],[Input Power (mW)]]</f>
        <v>855.20667720318727</v>
      </c>
      <c r="H6" s="5">
        <f>Table6[[#This Row],[psSAR10g_skin (mW/kg)]]*10^3/Table6[[#This Row],[Input Power (mW)]]</f>
        <v>1198.7855663254534</v>
      </c>
      <c r="I6" s="5">
        <f>Table6[[#This Row],[psSAR10g_brain (mW/kg)]]*10^3/Table6[[#This Row],[Input Power (mW)]]</f>
        <v>499.04372941218355</v>
      </c>
      <c r="J6" s="5">
        <f>Table6[[#This Row],[SAR_brain (mW/kg)]]*10^3/Table6[[#This Row],[Input Power (mW)]]</f>
        <v>31.255538064859547</v>
      </c>
    </row>
    <row r="7" spans="1:10" ht="15.75" customHeight="1" thickBot="1" x14ac:dyDescent="0.4">
      <c r="A7" s="6">
        <v>700</v>
      </c>
      <c r="B7" s="6" t="s">
        <v>31</v>
      </c>
      <c r="C7" s="6">
        <v>1</v>
      </c>
      <c r="D7" s="6">
        <f>Table6[[#This Row],[SAR_wholebody (mW/kg)]]*10^3/Table6[[#This Row],[Input Power (mW)]]</f>
        <v>12.714511514287567</v>
      </c>
      <c r="E7" s="6">
        <f>Table6[[#This Row],[SAR_head (mW/kg)]]*10^3/Table6[[#This Row],[Input Power (mW)]]</f>
        <v>130.40733546998277</v>
      </c>
      <c r="F7" s="6">
        <f>Table6[[#This Row],[SAR_trunk (mW/kg)]]*10^3/Table6[[#This Row],[Input Power (mW)]]</f>
        <v>3.4664959842311234</v>
      </c>
      <c r="G7" s="6">
        <f>Table6[[#This Row],[psSAR10g_eyes (mW/kg)]]*10^3/Table6[[#This Row],[Input Power (mW)]]</f>
        <v>474.35086113966287</v>
      </c>
      <c r="H7" s="6">
        <f>Table6[[#This Row],[psSAR10g_skin (mW/kg)]]*10^3/Table6[[#This Row],[Input Power (mW)]]</f>
        <v>1250.9262733662472</v>
      </c>
      <c r="I7" s="6">
        <f>Table6[[#This Row],[psSAR10g_brain (mW/kg)]]*10^3/Table6[[#This Row],[Input Power (mW)]]</f>
        <v>343.49072648878393</v>
      </c>
      <c r="J7" s="6">
        <f>Table6[[#This Row],[SAR_brain (mW/kg)]]*10^3/Table6[[#This Row],[Input Power (mW)]]</f>
        <v>20.322318273847941</v>
      </c>
    </row>
    <row r="8" spans="1:10" ht="15.75" customHeight="1" x14ac:dyDescent="0.35">
      <c r="A8" s="3">
        <v>835</v>
      </c>
      <c r="B8" s="3" t="s">
        <v>26</v>
      </c>
      <c r="C8" s="3">
        <v>1</v>
      </c>
      <c r="D8" s="3">
        <f>Table6[[#This Row],[SAR_wholebody (mW/kg)]]*10^3/Table6[[#This Row],[Input Power (mW)]]</f>
        <v>26.119676929553904</v>
      </c>
      <c r="E8" s="3">
        <f>Table6[[#This Row],[SAR_head (mW/kg)]]*10^3/Table6[[#This Row],[Input Power (mW)]]</f>
        <v>269.55156735775751</v>
      </c>
      <c r="F8" s="3">
        <f>Table6[[#This Row],[SAR_trunk (mW/kg)]]*10^3/Table6[[#This Row],[Input Power (mW)]]</f>
        <v>3.0781890823522327</v>
      </c>
      <c r="G8" s="3">
        <f>Table6[[#This Row],[psSAR10g_eyes (mW/kg)]]*10^3/Table6[[#This Row],[Input Power (mW)]]</f>
        <v>5561.2421868305273</v>
      </c>
      <c r="H8" s="3">
        <f>Table6[[#This Row],[psSAR10g_skin (mW/kg)]]*10^3/Table6[[#This Row],[Input Power (mW)]]</f>
        <v>6660.3021285865789</v>
      </c>
      <c r="I8" s="3">
        <f>Table6[[#This Row],[psSAR10g_brain (mW/kg)]]*10^3/Table6[[#This Row],[Input Power (mW)]]</f>
        <v>3239.794438320851</v>
      </c>
      <c r="J8" s="3">
        <f>Table6[[#This Row],[SAR_brain (mW/kg)]]*10^3/Table6[[#This Row],[Input Power (mW)]]</f>
        <v>50.493726518281576</v>
      </c>
    </row>
    <row r="9" spans="1:10" ht="15.75" customHeight="1" x14ac:dyDescent="0.35">
      <c r="A9" s="4">
        <v>835</v>
      </c>
      <c r="B9" s="4" t="s">
        <v>27</v>
      </c>
      <c r="C9" s="4">
        <v>1</v>
      </c>
      <c r="D9" s="4">
        <f>Table6[[#This Row],[SAR_wholebody (mW/kg)]]*10^3/Table6[[#This Row],[Input Power (mW)]]</f>
        <v>25.942548896513991</v>
      </c>
      <c r="E9" s="4">
        <f>Table6[[#This Row],[SAR_head (mW/kg)]]*10^3/Table6[[#This Row],[Input Power (mW)]]</f>
        <v>272.26390895356008</v>
      </c>
      <c r="F9" s="4">
        <f>Table6[[#This Row],[SAR_trunk (mW/kg)]]*10^3/Table6[[#This Row],[Input Power (mW)]]</f>
        <v>3.5045486312197633</v>
      </c>
      <c r="G9" s="4">
        <f>Table6[[#This Row],[psSAR10g_eyes (mW/kg)]]*10^3/Table6[[#This Row],[Input Power (mW)]]</f>
        <v>5672.6261040783329</v>
      </c>
      <c r="H9" s="4">
        <f>Table6[[#This Row],[psSAR10g_skin (mW/kg)]]*10^3/Table6[[#This Row],[Input Power (mW)]]</f>
        <v>6073.1867871103068</v>
      </c>
      <c r="I9" s="4">
        <f>Table6[[#This Row],[psSAR10g_brain (mW/kg)]]*10^3/Table6[[#This Row],[Input Power (mW)]]</f>
        <v>3276.3224271672589</v>
      </c>
      <c r="J9" s="4">
        <f>Table6[[#This Row],[SAR_brain (mW/kg)]]*10^3/Table6[[#This Row],[Input Power (mW)]]</f>
        <v>55.915892509335535</v>
      </c>
    </row>
    <row r="10" spans="1:10" ht="15.75" customHeight="1" x14ac:dyDescent="0.35">
      <c r="A10" s="5">
        <v>835</v>
      </c>
      <c r="B10" s="5" t="s">
        <v>28</v>
      </c>
      <c r="C10" s="5">
        <v>1</v>
      </c>
      <c r="D10" s="5">
        <f>Table6[[#This Row],[SAR_wholebody (mW/kg)]]*10^3/Table6[[#This Row],[Input Power (mW)]]</f>
        <v>25.977477452279516</v>
      </c>
      <c r="E10" s="5">
        <f>Table6[[#This Row],[SAR_head (mW/kg)]]*10^3/Table6[[#This Row],[Input Power (mW)]]</f>
        <v>277.29611460152148</v>
      </c>
      <c r="F10" s="5">
        <f>Table6[[#This Row],[SAR_trunk (mW/kg)]]*10^3/Table6[[#This Row],[Input Power (mW)]]</f>
        <v>2.7544460766770351</v>
      </c>
      <c r="G10" s="5">
        <f>Table6[[#This Row],[psSAR10g_eyes (mW/kg)]]*10^3/Table6[[#This Row],[Input Power (mW)]]</f>
        <v>5297.6222790610082</v>
      </c>
      <c r="H10" s="5">
        <f>Table6[[#This Row],[psSAR10g_skin (mW/kg)]]*10^3/Table6[[#This Row],[Input Power (mW)]]</f>
        <v>7476.421460114474</v>
      </c>
      <c r="I10" s="5">
        <f>Table6[[#This Row],[psSAR10g_brain (mW/kg)]]*10^3/Table6[[#This Row],[Input Power (mW)]]</f>
        <v>3004.561977639934</v>
      </c>
      <c r="J10" s="5">
        <f>Table6[[#This Row],[SAR_brain (mW/kg)]]*10^3/Table6[[#This Row],[Input Power (mW)]]</f>
        <v>44.65562214605</v>
      </c>
    </row>
    <row r="11" spans="1:10" ht="15.75" customHeight="1" x14ac:dyDescent="0.35">
      <c r="A11" s="4">
        <v>835</v>
      </c>
      <c r="B11" s="4" t="s">
        <v>29</v>
      </c>
      <c r="C11" s="4">
        <v>1</v>
      </c>
      <c r="D11" s="4">
        <f>Table6[[#This Row],[SAR_wholebody (mW/kg)]]*10^3/Table6[[#This Row],[Input Power (mW)]]</f>
        <v>9.1037550786153076</v>
      </c>
      <c r="E11" s="4">
        <f>Table6[[#This Row],[SAR_head (mW/kg)]]*10^3/Table6[[#This Row],[Input Power (mW)]]</f>
        <v>98.373746162328089</v>
      </c>
      <c r="F11" s="4">
        <f>Table6[[#This Row],[SAR_trunk (mW/kg)]]*10^3/Table6[[#This Row],[Input Power (mW)]]</f>
        <v>5.2060424508061844</v>
      </c>
      <c r="G11" s="4">
        <f>Table6[[#This Row],[psSAR10g_eyes (mW/kg)]]*10^3/Table6[[#This Row],[Input Power (mW)]]</f>
        <v>300.10087242227542</v>
      </c>
      <c r="H11" s="4">
        <f>Table6[[#This Row],[psSAR10g_skin (mW/kg)]]*10^3/Table6[[#This Row],[Input Power (mW)]]</f>
        <v>632.92975010481143</v>
      </c>
      <c r="I11" s="4">
        <f>Table6[[#This Row],[psSAR10g_brain (mW/kg)]]*10^3/Table6[[#This Row],[Input Power (mW)]]</f>
        <v>242.35234361735482</v>
      </c>
      <c r="J11" s="4">
        <f>Table6[[#This Row],[SAR_brain (mW/kg)]]*10^3/Table6[[#This Row],[Input Power (mW)]]</f>
        <v>21.732921014780707</v>
      </c>
    </row>
    <row r="12" spans="1:10" ht="15.75" customHeight="1" x14ac:dyDescent="0.35">
      <c r="A12" s="5">
        <v>835</v>
      </c>
      <c r="B12" s="5" t="s">
        <v>30</v>
      </c>
      <c r="C12" s="5">
        <v>1</v>
      </c>
      <c r="D12" s="5">
        <f>Table6[[#This Row],[SAR_wholebody (mW/kg)]]*10^3/Table6[[#This Row],[Input Power (mW)]]</f>
        <v>8.7990081828193425</v>
      </c>
      <c r="E12" s="5">
        <f>Table6[[#This Row],[SAR_head (mW/kg)]]*10^3/Table6[[#This Row],[Input Power (mW)]]</f>
        <v>93.68487546435702</v>
      </c>
      <c r="F12" s="5">
        <f>Table6[[#This Row],[SAR_trunk (mW/kg)]]*10^3/Table6[[#This Row],[Input Power (mW)]]</f>
        <v>6.4032081363527622</v>
      </c>
      <c r="G12" s="5">
        <f>Table6[[#This Row],[psSAR10g_eyes (mW/kg)]]*10^3/Table6[[#This Row],[Input Power (mW)]]</f>
        <v>362.17788852745309</v>
      </c>
      <c r="H12" s="5">
        <f>Table6[[#This Row],[psSAR10g_skin (mW/kg)]]*10^3/Table6[[#This Row],[Input Power (mW)]]</f>
        <v>574.55956087941672</v>
      </c>
      <c r="I12" s="5">
        <f>Table6[[#This Row],[psSAR10g_brain (mW/kg)]]*10^3/Table6[[#This Row],[Input Power (mW)]]</f>
        <v>272.91202095331357</v>
      </c>
      <c r="J12" s="5">
        <f>Table6[[#This Row],[SAR_brain (mW/kg)]]*10^3/Table6[[#This Row],[Input Power (mW)]]</f>
        <v>24.666147317225438</v>
      </c>
    </row>
    <row r="13" spans="1:10" ht="15.75" customHeight="1" thickBot="1" x14ac:dyDescent="0.4">
      <c r="A13" s="6">
        <v>835</v>
      </c>
      <c r="B13" s="6" t="s">
        <v>31</v>
      </c>
      <c r="C13" s="6">
        <v>1</v>
      </c>
      <c r="D13" s="6">
        <f>Table6[[#This Row],[SAR_wholebody (mW/kg)]]*10^3/Table6[[#This Row],[Input Power (mW)]]</f>
        <v>9.0800094914439473</v>
      </c>
      <c r="E13" s="6">
        <f>Table6[[#This Row],[SAR_head (mW/kg)]]*10^3/Table6[[#This Row],[Input Power (mW)]]</f>
        <v>100.05995245687193</v>
      </c>
      <c r="F13" s="6">
        <f>Table6[[#This Row],[SAR_trunk (mW/kg)]]*10^3/Table6[[#This Row],[Input Power (mW)]]</f>
        <v>3.9855695128666535</v>
      </c>
      <c r="G13" s="6">
        <f>Table6[[#This Row],[psSAR10g_eyes (mW/kg)]]*10^3/Table6[[#This Row],[Input Power (mW)]]</f>
        <v>264.87342459025569</v>
      </c>
      <c r="H13" s="6">
        <f>Table6[[#This Row],[psSAR10g_skin (mW/kg)]]*10^3/Table6[[#This Row],[Input Power (mW)]]</f>
        <v>628.23141422500885</v>
      </c>
      <c r="I13" s="6">
        <f>Table6[[#This Row],[psSAR10g_brain (mW/kg)]]*10^3/Table6[[#This Row],[Input Power (mW)]]</f>
        <v>199.98105701044167</v>
      </c>
      <c r="J13" s="6">
        <f>Table6[[#This Row],[SAR_brain (mW/kg)]]*10^3/Table6[[#This Row],[Input Power (mW)]]</f>
        <v>19.765959093754386</v>
      </c>
    </row>
    <row r="14" spans="1:10" ht="15.75" customHeight="1" x14ac:dyDescent="0.35">
      <c r="A14" s="3">
        <v>1450</v>
      </c>
      <c r="B14" s="3" t="s">
        <v>26</v>
      </c>
      <c r="C14" s="3">
        <v>1</v>
      </c>
      <c r="D14" s="3">
        <f>Table6[[#This Row],[SAR_wholebody (mW/kg)]]*10^3/Table6[[#This Row],[Input Power (mW)]]</f>
        <v>27.293353819452928</v>
      </c>
      <c r="E14" s="3">
        <f>Table6[[#This Row],[SAR_head (mW/kg)]]*10^3/Table6[[#This Row],[Input Power (mW)]]</f>
        <v>248.82647067412262</v>
      </c>
      <c r="F14" s="3">
        <f>Table6[[#This Row],[SAR_trunk (mW/kg)]]*10^3/Table6[[#This Row],[Input Power (mW)]]</f>
        <v>1.0850579393682735</v>
      </c>
      <c r="G14" s="3">
        <f>Table6[[#This Row],[psSAR10g_eyes (mW/kg)]]*10^3/Table6[[#This Row],[Input Power (mW)]]</f>
        <v>3265.7888869509811</v>
      </c>
      <c r="H14" s="3">
        <f>Table6[[#This Row],[psSAR10g_skin (mW/kg)]]*10^3/Table6[[#This Row],[Input Power (mW)]]</f>
        <v>11870.381863233019</v>
      </c>
      <c r="I14" s="3">
        <f>Table6[[#This Row],[psSAR10g_brain (mW/kg)]]*10^3/Table6[[#This Row],[Input Power (mW)]]</f>
        <v>2548.787638368387</v>
      </c>
      <c r="J14" s="3">
        <f>Table6[[#This Row],[SAR_brain (mW/kg)]]*10^3/Table6[[#This Row],[Input Power (mW)]]</f>
        <v>40.206143076406605</v>
      </c>
    </row>
    <row r="15" spans="1:10" ht="15.75" customHeight="1" x14ac:dyDescent="0.35">
      <c r="A15" s="4">
        <v>1450</v>
      </c>
      <c r="B15" s="4" t="s">
        <v>27</v>
      </c>
      <c r="C15" s="4">
        <v>1</v>
      </c>
      <c r="D15" s="4">
        <f>Table6[[#This Row],[SAR_wholebody (mW/kg)]]*10^3/Table6[[#This Row],[Input Power (mW)]]</f>
        <v>27.458796529744625</v>
      </c>
      <c r="E15" s="4">
        <f>Table6[[#This Row],[SAR_head (mW/kg)]]*10^3/Table6[[#This Row],[Input Power (mW)]]</f>
        <v>275.20508610977259</v>
      </c>
      <c r="F15" s="4">
        <f>Table6[[#This Row],[SAR_trunk (mW/kg)]]*10^3/Table6[[#This Row],[Input Power (mW)]]</f>
        <v>0.98801489797421693</v>
      </c>
      <c r="G15" s="4">
        <f>Table6[[#This Row],[psSAR10g_eyes (mW/kg)]]*10^3/Table6[[#This Row],[Input Power (mW)]]</f>
        <v>3090.9669718372356</v>
      </c>
      <c r="H15" s="4">
        <f>Table6[[#This Row],[psSAR10g_skin (mW/kg)]]*10^3/Table6[[#This Row],[Input Power (mW)]]</f>
        <v>12127.116732496792</v>
      </c>
      <c r="I15" s="4">
        <f>Table6[[#This Row],[psSAR10g_brain (mW/kg)]]*10^3/Table6[[#This Row],[Input Power (mW)]]</f>
        <v>2206.6794591084054</v>
      </c>
      <c r="J15" s="4">
        <f>Table6[[#This Row],[SAR_brain (mW/kg)]]*10^3/Table6[[#This Row],[Input Power (mW)]]</f>
        <v>37.760361823889617</v>
      </c>
    </row>
    <row r="16" spans="1:10" ht="15.75" customHeight="1" x14ac:dyDescent="0.35">
      <c r="A16" s="5">
        <v>1450</v>
      </c>
      <c r="B16" s="5" t="s">
        <v>28</v>
      </c>
      <c r="C16" s="5">
        <v>1</v>
      </c>
      <c r="D16" s="5">
        <f>Table6[[#This Row],[SAR_wholebody (mW/kg)]]*10^3/Table6[[#This Row],[Input Power (mW)]]</f>
        <v>27.225869753986416</v>
      </c>
      <c r="E16" s="5">
        <f>Table6[[#This Row],[SAR_head (mW/kg)]]*10^3/Table6[[#This Row],[Input Power (mW)]]</f>
        <v>241.77246770134721</v>
      </c>
      <c r="F16" s="5">
        <f>Table6[[#This Row],[SAR_trunk (mW/kg)]]*10^3/Table6[[#This Row],[Input Power (mW)]]</f>
        <v>1.0458664936578774</v>
      </c>
      <c r="G16" s="5">
        <f>Table6[[#This Row],[psSAR10g_eyes (mW/kg)]]*10^3/Table6[[#This Row],[Input Power (mW)]]</f>
        <v>3811.7496451074999</v>
      </c>
      <c r="H16" s="5">
        <f>Table6[[#This Row],[psSAR10g_skin (mW/kg)]]*10^3/Table6[[#This Row],[Input Power (mW)]]</f>
        <v>11732.087071931132</v>
      </c>
      <c r="I16" s="5">
        <f>Table6[[#This Row],[psSAR10g_brain (mW/kg)]]*10^3/Table6[[#This Row],[Input Power (mW)]]</f>
        <v>2896.8223030536697</v>
      </c>
      <c r="J16" s="5">
        <f>Table6[[#This Row],[SAR_brain (mW/kg)]]*10^3/Table6[[#This Row],[Input Power (mW)]]</f>
        <v>43.532638345895279</v>
      </c>
    </row>
    <row r="17" spans="1:10" ht="15.75" customHeight="1" x14ac:dyDescent="0.35">
      <c r="A17" s="4">
        <v>1450</v>
      </c>
      <c r="B17" s="4" t="s">
        <v>29</v>
      </c>
      <c r="C17" s="4">
        <v>1</v>
      </c>
      <c r="D17" s="4">
        <f>Table6[[#This Row],[SAR_wholebody (mW/kg)]]*10^3/Table6[[#This Row],[Input Power (mW)]]</f>
        <v>16.751899224457169</v>
      </c>
      <c r="E17" s="4">
        <f>Table6[[#This Row],[SAR_head (mW/kg)]]*10^3/Table6[[#This Row],[Input Power (mW)]]</f>
        <v>169.26474628993961</v>
      </c>
      <c r="F17" s="4">
        <f>Table6[[#This Row],[SAR_trunk (mW/kg)]]*10^3/Table6[[#This Row],[Input Power (mW)]]</f>
        <v>0.79991688218464341</v>
      </c>
      <c r="G17" s="4">
        <f>Table6[[#This Row],[psSAR10g_eyes (mW/kg)]]*10^3/Table6[[#This Row],[Input Power (mW)]]</f>
        <v>917.37276742699157</v>
      </c>
      <c r="H17" s="4">
        <f>Table6[[#This Row],[psSAR10g_skin (mW/kg)]]*10^3/Table6[[#This Row],[Input Power (mW)]]</f>
        <v>3597.2549382081697</v>
      </c>
      <c r="I17" s="4">
        <f>Table6[[#This Row],[psSAR10g_brain (mW/kg)]]*10^3/Table6[[#This Row],[Input Power (mW)]]</f>
        <v>1992.9195685259813</v>
      </c>
      <c r="J17" s="4">
        <f>Table6[[#This Row],[SAR_brain (mW/kg)]]*10^3/Table6[[#This Row],[Input Power (mW)]]</f>
        <v>36.448766545659431</v>
      </c>
    </row>
    <row r="18" spans="1:10" ht="15.75" customHeight="1" x14ac:dyDescent="0.35">
      <c r="A18" s="5">
        <v>1450</v>
      </c>
      <c r="B18" s="5" t="s">
        <v>30</v>
      </c>
      <c r="C18" s="5">
        <v>1</v>
      </c>
      <c r="D18" s="5">
        <f>Table6[[#This Row],[SAR_wholebody (mW/kg)]]*10^3/Table6[[#This Row],[Input Power (mW)]]</f>
        <v>16.567978710728021</v>
      </c>
      <c r="E18" s="5">
        <f>Table6[[#This Row],[SAR_head (mW/kg)]]*10^3/Table6[[#This Row],[Input Power (mW)]]</f>
        <v>162.79354519610945</v>
      </c>
      <c r="F18" s="5">
        <f>Table6[[#This Row],[SAR_trunk (mW/kg)]]*10^3/Table6[[#This Row],[Input Power (mW)]]</f>
        <v>0.99667291290433968</v>
      </c>
      <c r="G18" s="5">
        <f>Table6[[#This Row],[psSAR10g_eyes (mW/kg)]]*10^3/Table6[[#This Row],[Input Power (mW)]]</f>
        <v>1103.4324356400471</v>
      </c>
      <c r="H18" s="5">
        <f>Table6[[#This Row],[psSAR10g_skin (mW/kg)]]*10^3/Table6[[#This Row],[Input Power (mW)]]</f>
        <v>3132.8539258610285</v>
      </c>
      <c r="I18" s="5">
        <f>Table6[[#This Row],[psSAR10g_brain (mW/kg)]]*10^3/Table6[[#This Row],[Input Power (mW)]]</f>
        <v>1945.1246481052735</v>
      </c>
      <c r="J18" s="5">
        <f>Table6[[#This Row],[SAR_brain (mW/kg)]]*10^3/Table6[[#This Row],[Input Power (mW)]]</f>
        <v>39.529418514850938</v>
      </c>
    </row>
    <row r="19" spans="1:10" ht="15.75" customHeight="1" thickBot="1" x14ac:dyDescent="0.4">
      <c r="A19" s="6">
        <v>1450</v>
      </c>
      <c r="B19" s="6" t="s">
        <v>31</v>
      </c>
      <c r="C19" s="6">
        <v>1</v>
      </c>
      <c r="D19" s="6">
        <f>Table6[[#This Row],[SAR_wholebody (mW/kg)]]*10^3/Table6[[#This Row],[Input Power (mW)]]</f>
        <v>17.134354507463019</v>
      </c>
      <c r="E19" s="6">
        <f>Table6[[#This Row],[SAR_head (mW/kg)]]*10^3/Table6[[#This Row],[Input Power (mW)]]</f>
        <v>169.38552173185283</v>
      </c>
      <c r="F19" s="6">
        <f>Table6[[#This Row],[SAR_trunk (mW/kg)]]*10^3/Table6[[#This Row],[Input Power (mW)]]</f>
        <v>0.78499199133728581</v>
      </c>
      <c r="G19" s="6">
        <f>Table6[[#This Row],[psSAR10g_eyes (mW/kg)]]*10^3/Table6[[#This Row],[Input Power (mW)]]</f>
        <v>755.5852108303028</v>
      </c>
      <c r="H19" s="6">
        <f>Table6[[#This Row],[psSAR10g_skin (mW/kg)]]*10^3/Table6[[#This Row],[Input Power (mW)]]</f>
        <v>4263.4338474522265</v>
      </c>
      <c r="I19" s="6">
        <f>Table6[[#This Row],[psSAR10g_brain (mW/kg)]]*10^3/Table6[[#This Row],[Input Power (mW)]]</f>
        <v>1930.7712262850378</v>
      </c>
      <c r="J19" s="6">
        <f>Table6[[#This Row],[SAR_brain (mW/kg)]]*10^3/Table6[[#This Row],[Input Power (mW)]]</f>
        <v>34.315836768470753</v>
      </c>
    </row>
    <row r="20" spans="1:10" ht="15.75" customHeight="1" x14ac:dyDescent="0.35">
      <c r="A20" s="3">
        <v>2140</v>
      </c>
      <c r="B20" s="3" t="s">
        <v>26</v>
      </c>
      <c r="C20" s="3">
        <v>1</v>
      </c>
      <c r="D20" s="3">
        <f>Table6[[#This Row],[SAR_wholebody (mW/kg)]]*10^3/Table6[[#This Row],[Input Power (mW)]]</f>
        <v>26.001685452378847</v>
      </c>
      <c r="E20" s="3">
        <f>Table6[[#This Row],[SAR_head (mW/kg)]]*10^3/Table6[[#This Row],[Input Power (mW)]]</f>
        <v>250.03056204828718</v>
      </c>
      <c r="F20" s="3">
        <f>Table6[[#This Row],[SAR_trunk (mW/kg)]]*10^3/Table6[[#This Row],[Input Power (mW)]]</f>
        <v>0.36157047415652305</v>
      </c>
      <c r="G20" s="3">
        <f>Table6[[#This Row],[psSAR10g_eyes (mW/kg)]]*10^3/Table6[[#This Row],[Input Power (mW)]]</f>
        <v>3890.7115811245899</v>
      </c>
      <c r="H20" s="3">
        <f>Table6[[#This Row],[psSAR10g_skin (mW/kg)]]*10^3/Table6[[#This Row],[Input Power (mW)]]</f>
        <v>14658.616203232692</v>
      </c>
      <c r="I20" s="3">
        <f>Table6[[#This Row],[psSAR10g_brain (mW/kg)]]*10^3/Table6[[#This Row],[Input Power (mW)]]</f>
        <v>2517.2082200463719</v>
      </c>
      <c r="J20" s="3">
        <f>Table6[[#This Row],[SAR_brain (mW/kg)]]*10^3/Table6[[#This Row],[Input Power (mW)]]</f>
        <v>22.878445031132053</v>
      </c>
    </row>
    <row r="21" spans="1:10" ht="15.75" customHeight="1" x14ac:dyDescent="0.35">
      <c r="A21" s="4">
        <v>2140</v>
      </c>
      <c r="B21" s="4" t="s">
        <v>27</v>
      </c>
      <c r="C21" s="4">
        <v>1</v>
      </c>
      <c r="D21" s="4">
        <f>Table6[[#This Row],[SAR_wholebody (mW/kg)]]*10^3/Table6[[#This Row],[Input Power (mW)]]</f>
        <v>26.31832269091846</v>
      </c>
      <c r="E21" s="4">
        <f>Table6[[#This Row],[SAR_head (mW/kg)]]*10^3/Table6[[#This Row],[Input Power (mW)]]</f>
        <v>255.79093084974744</v>
      </c>
      <c r="F21" s="4">
        <f>Table6[[#This Row],[SAR_trunk (mW/kg)]]*10^3/Table6[[#This Row],[Input Power (mW)]]</f>
        <v>0.41356761994214619</v>
      </c>
      <c r="G21" s="4">
        <f>Table6[[#This Row],[psSAR10g_eyes (mW/kg)]]*10^3/Table6[[#This Row],[Input Power (mW)]]</f>
        <v>3187.8820667214491</v>
      </c>
      <c r="H21" s="4">
        <f>Table6[[#This Row],[psSAR10g_skin (mW/kg)]]*10^3/Table6[[#This Row],[Input Power (mW)]]</f>
        <v>15199.838638355386</v>
      </c>
      <c r="I21" s="4">
        <f>Table6[[#This Row],[psSAR10g_brain (mW/kg)]]*10^3/Table6[[#This Row],[Input Power (mW)]]</f>
        <v>2091.1390059675127</v>
      </c>
      <c r="J21" s="4">
        <f>Table6[[#This Row],[SAR_brain (mW/kg)]]*10^3/Table6[[#This Row],[Input Power (mW)]]</f>
        <v>20.020925208610258</v>
      </c>
    </row>
    <row r="22" spans="1:10" ht="15.75" customHeight="1" x14ac:dyDescent="0.35">
      <c r="A22" s="5">
        <v>2140</v>
      </c>
      <c r="B22" s="5" t="s">
        <v>28</v>
      </c>
      <c r="C22" s="5">
        <v>1</v>
      </c>
      <c r="D22" s="5">
        <f>Table6[[#This Row],[SAR_wholebody (mW/kg)]]*10^3/Table6[[#This Row],[Input Power (mW)]]</f>
        <v>25.840879823338206</v>
      </c>
      <c r="E22" s="5">
        <f>Table6[[#This Row],[SAR_head (mW/kg)]]*10^3/Table6[[#This Row],[Input Power (mW)]]</f>
        <v>272.05056967632055</v>
      </c>
      <c r="F22" s="5">
        <f>Table6[[#This Row],[SAR_trunk (mW/kg)]]*10^3/Table6[[#This Row],[Input Power (mW)]]</f>
        <v>0.38931548594615389</v>
      </c>
      <c r="G22" s="5">
        <f>Table6[[#This Row],[psSAR10g_eyes (mW/kg)]]*10^3/Table6[[#This Row],[Input Power (mW)]]</f>
        <v>4665.3501232181407</v>
      </c>
      <c r="H22" s="5">
        <f>Table6[[#This Row],[psSAR10g_skin (mW/kg)]]*10^3/Table6[[#This Row],[Input Power (mW)]]</f>
        <v>15171.504024547179</v>
      </c>
      <c r="I22" s="5">
        <f>Table6[[#This Row],[psSAR10g_brain (mW/kg)]]*10^3/Table6[[#This Row],[Input Power (mW)]]</f>
        <v>3086.431701267667</v>
      </c>
      <c r="J22" s="5">
        <f>Table6[[#This Row],[SAR_brain (mW/kg)]]*10^3/Table6[[#This Row],[Input Power (mW)]]</f>
        <v>25.922275356891028</v>
      </c>
    </row>
    <row r="23" spans="1:10" ht="15.75" customHeight="1" x14ac:dyDescent="0.35">
      <c r="A23" s="4">
        <v>2140</v>
      </c>
      <c r="B23" s="4" t="s">
        <v>29</v>
      </c>
      <c r="C23" s="4">
        <v>1</v>
      </c>
      <c r="D23" s="4">
        <f>Table6[[#This Row],[SAR_wholebody (mW/kg)]]*10^3/Table6[[#This Row],[Input Power (mW)]]</f>
        <v>15.103789567798973</v>
      </c>
      <c r="E23" s="4">
        <f>Table6[[#This Row],[SAR_head (mW/kg)]]*10^3/Table6[[#This Row],[Input Power (mW)]]</f>
        <v>172.58607123925</v>
      </c>
      <c r="F23" s="4">
        <f>Table6[[#This Row],[SAR_trunk (mW/kg)]]*10^3/Table6[[#This Row],[Input Power (mW)]]</f>
        <v>0.63238759041740777</v>
      </c>
      <c r="G23" s="4">
        <f>Table6[[#This Row],[psSAR10g_eyes (mW/kg)]]*10^3/Table6[[#This Row],[Input Power (mW)]]</f>
        <v>1046.704283124968</v>
      </c>
      <c r="H23" s="4">
        <f>Table6[[#This Row],[psSAR10g_skin (mW/kg)]]*10^3/Table6[[#This Row],[Input Power (mW)]]</f>
        <v>5559.1149376532558</v>
      </c>
      <c r="I23" s="4">
        <f>Table6[[#This Row],[psSAR10g_brain (mW/kg)]]*10^3/Table6[[#This Row],[Input Power (mW)]]</f>
        <v>1654.6334214540257</v>
      </c>
      <c r="J23" s="4">
        <f>Table6[[#This Row],[SAR_brain (mW/kg)]]*10^3/Table6[[#This Row],[Input Power (mW)]]</f>
        <v>18.401839137783334</v>
      </c>
    </row>
    <row r="24" spans="1:10" ht="15.75" customHeight="1" x14ac:dyDescent="0.35">
      <c r="A24" s="5">
        <v>2140</v>
      </c>
      <c r="B24" s="5" t="s">
        <v>30</v>
      </c>
      <c r="C24" s="5">
        <v>1</v>
      </c>
      <c r="D24" s="5">
        <f>Table6[[#This Row],[SAR_wholebody (mW/kg)]]*10^3/Table6[[#This Row],[Input Power (mW)]]</f>
        <v>14.692140546284486</v>
      </c>
      <c r="E24" s="5">
        <f>Table6[[#This Row],[SAR_head (mW/kg)]]*10^3/Table6[[#This Row],[Input Power (mW)]]</f>
        <v>155.74149867551796</v>
      </c>
      <c r="F24" s="5">
        <f>Table6[[#This Row],[SAR_trunk (mW/kg)]]*10^3/Table6[[#This Row],[Input Power (mW)]]</f>
        <v>1.0655950703231782</v>
      </c>
      <c r="G24" s="5">
        <f>Table6[[#This Row],[psSAR10g_eyes (mW/kg)]]*10^3/Table6[[#This Row],[Input Power (mW)]]</f>
        <v>1168.1637929889166</v>
      </c>
      <c r="H24" s="5">
        <f>Table6[[#This Row],[psSAR10g_skin (mW/kg)]]*10^3/Table6[[#This Row],[Input Power (mW)]]</f>
        <v>5122.8232360581151</v>
      </c>
      <c r="I24" s="5">
        <f>Table6[[#This Row],[psSAR10g_brain (mW/kg)]]*10^3/Table6[[#This Row],[Input Power (mW)]]</f>
        <v>1684.6083829707179</v>
      </c>
      <c r="J24" s="5">
        <f>Table6[[#This Row],[SAR_brain (mW/kg)]]*10^3/Table6[[#This Row],[Input Power (mW)]]</f>
        <v>19.432114837441024</v>
      </c>
    </row>
    <row r="25" spans="1:10" ht="15.75" customHeight="1" thickBot="1" x14ac:dyDescent="0.4">
      <c r="A25" s="6">
        <v>2140</v>
      </c>
      <c r="B25" s="6" t="s">
        <v>31</v>
      </c>
      <c r="C25" s="6">
        <v>1</v>
      </c>
      <c r="D25" s="6">
        <f>Table6[[#This Row],[SAR_wholebody (mW/kg)]]*10^3/Table6[[#This Row],[Input Power (mW)]]</f>
        <v>15.492640082404618</v>
      </c>
      <c r="E25" s="6">
        <f>Table6[[#This Row],[SAR_head (mW/kg)]]*10^3/Table6[[#This Row],[Input Power (mW)]]</f>
        <v>168.26508631351538</v>
      </c>
      <c r="F25" s="6">
        <f>Table6[[#This Row],[SAR_trunk (mW/kg)]]*10^3/Table6[[#This Row],[Input Power (mW)]]</f>
        <v>0.36876114589961667</v>
      </c>
      <c r="G25" s="6">
        <f>Table6[[#This Row],[psSAR10g_eyes (mW/kg)]]*10^3/Table6[[#This Row],[Input Power (mW)]]</f>
        <v>923.44908485655901</v>
      </c>
      <c r="H25" s="6">
        <f>Table6[[#This Row],[psSAR10g_skin (mW/kg)]]*10^3/Table6[[#This Row],[Input Power (mW)]]</f>
        <v>5800.3232050031411</v>
      </c>
      <c r="I25" s="6">
        <f>Table6[[#This Row],[psSAR10g_brain (mW/kg)]]*10^3/Table6[[#This Row],[Input Power (mW)]]</f>
        <v>1602.0012476395771</v>
      </c>
      <c r="J25" s="6">
        <f>Table6[[#This Row],[SAR_brain (mW/kg)]]*10^3/Table6[[#This Row],[Input Power (mW)]]</f>
        <v>17.506680216333333</v>
      </c>
    </row>
    <row r="26" spans="1:10" ht="15.75" customHeight="1" x14ac:dyDescent="0.35">
      <c r="A26" s="3">
        <v>2450</v>
      </c>
      <c r="B26" s="3" t="s">
        <v>26</v>
      </c>
      <c r="C26" s="3">
        <v>1</v>
      </c>
      <c r="D26" s="3">
        <f>Table6[[#This Row],[SAR_wholebody (mW/kg)]]*10^3/Table6[[#This Row],[Input Power (mW)]]</f>
        <v>25.861232305921078</v>
      </c>
      <c r="E26" s="3">
        <f>Table6[[#This Row],[SAR_head (mW/kg)]]*10^3/Table6[[#This Row],[Input Power (mW)]]</f>
        <v>263.50061806969865</v>
      </c>
      <c r="F26" s="3">
        <f>Table6[[#This Row],[SAR_trunk (mW/kg)]]*10^3/Table6[[#This Row],[Input Power (mW)]]</f>
        <v>0.35582444079614323</v>
      </c>
      <c r="G26" s="3">
        <f>Table6[[#This Row],[psSAR10g_eyes (mW/kg)]]*10^3/Table6[[#This Row],[Input Power (mW)]]</f>
        <v>3006.0685722783246</v>
      </c>
      <c r="H26" s="3">
        <f>Table6[[#This Row],[psSAR10g_skin (mW/kg)]]*10^3/Table6[[#This Row],[Input Power (mW)]]</f>
        <v>16634.222779415813</v>
      </c>
      <c r="I26" s="3">
        <f>Table6[[#This Row],[psSAR10g_brain (mW/kg)]]*10^3/Table6[[#This Row],[Input Power (mW)]]</f>
        <v>2294.9806481565679</v>
      </c>
      <c r="J26" s="3">
        <f>Table6[[#This Row],[SAR_brain (mW/kg)]]*10^3/Table6[[#This Row],[Input Power (mW)]]</f>
        <v>16.392940871604054</v>
      </c>
    </row>
    <row r="27" spans="1:10" ht="15.75" customHeight="1" x14ac:dyDescent="0.35">
      <c r="A27" s="4">
        <v>2450</v>
      </c>
      <c r="B27" s="4" t="s">
        <v>27</v>
      </c>
      <c r="C27" s="4">
        <v>1</v>
      </c>
      <c r="D27" s="4">
        <f>Table6[[#This Row],[SAR_wholebody (mW/kg)]]*10^3/Table6[[#This Row],[Input Power (mW)]]</f>
        <v>26.226044823589596</v>
      </c>
      <c r="E27" s="4">
        <f>Table6[[#This Row],[SAR_head (mW/kg)]]*10^3/Table6[[#This Row],[Input Power (mW)]]</f>
        <v>268.67378713829868</v>
      </c>
      <c r="F27" s="4">
        <f>Table6[[#This Row],[SAR_trunk (mW/kg)]]*10^3/Table6[[#This Row],[Input Power (mW)]]</f>
        <v>0.33833139875673512</v>
      </c>
      <c r="G27" s="4">
        <f>Table6[[#This Row],[psSAR10g_eyes (mW/kg)]]*10^3/Table6[[#This Row],[Input Power (mW)]]</f>
        <v>2448.3625443999053</v>
      </c>
      <c r="H27" s="4">
        <f>Table6[[#This Row],[psSAR10g_skin (mW/kg)]]*10^3/Table6[[#This Row],[Input Power (mW)]]</f>
        <v>18955.897620661755</v>
      </c>
      <c r="I27" s="4">
        <f>Table6[[#This Row],[psSAR10g_brain (mW/kg)]]*10^3/Table6[[#This Row],[Input Power (mW)]]</f>
        <v>1882.3610888105272</v>
      </c>
      <c r="J27" s="4">
        <f>Table6[[#This Row],[SAR_brain (mW/kg)]]*10^3/Table6[[#This Row],[Input Power (mW)]]</f>
        <v>14.359600628132432</v>
      </c>
    </row>
    <row r="28" spans="1:10" ht="15.75" customHeight="1" x14ac:dyDescent="0.35">
      <c r="A28" s="5">
        <v>2450</v>
      </c>
      <c r="B28" s="5" t="s">
        <v>28</v>
      </c>
      <c r="C28" s="5">
        <v>1</v>
      </c>
      <c r="D28" s="5">
        <f>Table6[[#This Row],[SAR_wholebody (mW/kg)]]*10^3/Table6[[#This Row],[Input Power (mW)]]</f>
        <v>25.634963232416759</v>
      </c>
      <c r="E28" s="5">
        <f>Table6[[#This Row],[SAR_head (mW/kg)]]*10^3/Table6[[#This Row],[Input Power (mW)]]</f>
        <v>233.20833941168516</v>
      </c>
      <c r="F28" s="5">
        <f>Table6[[#This Row],[SAR_trunk (mW/kg)]]*10^3/Table6[[#This Row],[Input Power (mW)]]</f>
        <v>0.30669663048013512</v>
      </c>
      <c r="G28" s="5">
        <f>Table6[[#This Row],[psSAR10g_eyes (mW/kg)]]*10^3/Table6[[#This Row],[Input Power (mW)]]</f>
        <v>3371.230945186865</v>
      </c>
      <c r="H28" s="5">
        <f>Table6[[#This Row],[psSAR10g_skin (mW/kg)]]*10^3/Table6[[#This Row],[Input Power (mW)]]</f>
        <v>15917.446487824054</v>
      </c>
      <c r="I28" s="5">
        <f>Table6[[#This Row],[psSAR10g_brain (mW/kg)]]*10^3/Table6[[#This Row],[Input Power (mW)]]</f>
        <v>2822.971215199892</v>
      </c>
      <c r="J28" s="5">
        <f>Table6[[#This Row],[SAR_brain (mW/kg)]]*10^3/Table6[[#This Row],[Input Power (mW)]]</f>
        <v>18.684290340555403</v>
      </c>
    </row>
    <row r="29" spans="1:10" ht="15.75" customHeight="1" x14ac:dyDescent="0.35">
      <c r="A29" s="4">
        <v>2450</v>
      </c>
      <c r="B29" s="4" t="s">
        <v>29</v>
      </c>
      <c r="C29" s="4">
        <v>1</v>
      </c>
      <c r="D29" s="4">
        <f>Table6[[#This Row],[SAR_wholebody (mW/kg)]]*10^3/Table6[[#This Row],[Input Power (mW)]]</f>
        <v>14.283865755251757</v>
      </c>
      <c r="E29" s="4">
        <f>Table6[[#This Row],[SAR_head (mW/kg)]]*10^3/Table6[[#This Row],[Input Power (mW)]]</f>
        <v>139.97698898630946</v>
      </c>
      <c r="F29" s="4">
        <f>Table6[[#This Row],[SAR_trunk (mW/kg)]]*10^3/Table6[[#This Row],[Input Power (mW)]]</f>
        <v>0.27894707852777434</v>
      </c>
      <c r="G29" s="4">
        <f>Table6[[#This Row],[psSAR10g_eyes (mW/kg)]]*10^3/Table6[[#This Row],[Input Power (mW)]]</f>
        <v>979.96701521567991</v>
      </c>
      <c r="H29" s="4">
        <f>Table6[[#This Row],[psSAR10g_skin (mW/kg)]]*10^3/Table6[[#This Row],[Input Power (mW)]]</f>
        <v>5492.7821811438916</v>
      </c>
      <c r="I29" s="4">
        <f>Table6[[#This Row],[psSAR10g_brain (mW/kg)]]*10^3/Table6[[#This Row],[Input Power (mW)]]</f>
        <v>1620.4004969141217</v>
      </c>
      <c r="J29" s="4">
        <f>Table6[[#This Row],[SAR_brain (mW/kg)]]*10^3/Table6[[#This Row],[Input Power (mW)]]</f>
        <v>14.826994707106754</v>
      </c>
    </row>
    <row r="30" spans="1:10" ht="15.75" customHeight="1" x14ac:dyDescent="0.35">
      <c r="A30" s="5">
        <v>2450</v>
      </c>
      <c r="B30" s="5" t="s">
        <v>30</v>
      </c>
      <c r="C30" s="5">
        <v>1</v>
      </c>
      <c r="D30" s="5">
        <f>Table6[[#This Row],[SAR_wholebody (mW/kg)]]*10^3/Table6[[#This Row],[Input Power (mW)]]</f>
        <v>13.842197032792299</v>
      </c>
      <c r="E30" s="5">
        <f>Table6[[#This Row],[SAR_head (mW/kg)]]*10^3/Table6[[#This Row],[Input Power (mW)]]</f>
        <v>140.83829619939999</v>
      </c>
      <c r="F30" s="5">
        <f>Table6[[#This Row],[SAR_trunk (mW/kg)]]*10^3/Table6[[#This Row],[Input Power (mW)]]</f>
        <v>0.70542386761155407</v>
      </c>
      <c r="G30" s="5">
        <f>Table6[[#This Row],[psSAR10g_eyes (mW/kg)]]*10^3/Table6[[#This Row],[Input Power (mW)]]</f>
        <v>1020.7225192636527</v>
      </c>
      <c r="H30" s="5">
        <f>Table6[[#This Row],[psSAR10g_skin (mW/kg)]]*10^3/Table6[[#This Row],[Input Power (mW)]]</f>
        <v>5083.8402190898105</v>
      </c>
      <c r="I30" s="5">
        <f>Table6[[#This Row],[psSAR10g_brain (mW/kg)]]*10^3/Table6[[#This Row],[Input Power (mW)]]</f>
        <v>1726.6533724059459</v>
      </c>
      <c r="J30" s="5">
        <f>Table6[[#This Row],[SAR_brain (mW/kg)]]*10^3/Table6[[#This Row],[Input Power (mW)]]</f>
        <v>15.585020575760808</v>
      </c>
    </row>
    <row r="31" spans="1:10" ht="15.75" customHeight="1" thickBot="1" x14ac:dyDescent="0.4">
      <c r="A31" s="6">
        <v>2450</v>
      </c>
      <c r="B31" s="6" t="s">
        <v>31</v>
      </c>
      <c r="C31" s="6">
        <v>1</v>
      </c>
      <c r="D31" s="6">
        <f>Table6[[#This Row],[SAR_wholebody (mW/kg)]]*10^3/Table6[[#This Row],[Input Power (mW)]]</f>
        <v>14.716207539777702</v>
      </c>
      <c r="E31" s="6">
        <f>Table6[[#This Row],[SAR_head (mW/kg)]]*10^3/Table6[[#This Row],[Input Power (mW)]]</f>
        <v>159.34088129162026</v>
      </c>
      <c r="F31" s="6">
        <f>Table6[[#This Row],[SAR_trunk (mW/kg)]]*10^3/Table6[[#This Row],[Input Power (mW)]]</f>
        <v>0.21422416945526621</v>
      </c>
      <c r="G31" s="6">
        <f>Table6[[#This Row],[psSAR10g_eyes (mW/kg)]]*10^3/Table6[[#This Row],[Input Power (mW)]]</f>
        <v>794.8593349162378</v>
      </c>
      <c r="H31" s="6">
        <f>Table6[[#This Row],[psSAR10g_skin (mW/kg)]]*10^3/Table6[[#This Row],[Input Power (mW)]]</f>
        <v>5730.3420883679191</v>
      </c>
      <c r="I31" s="6">
        <f>Table6[[#This Row],[psSAR10g_brain (mW/kg)]]*10^3/Table6[[#This Row],[Input Power (mW)]]</f>
        <v>1642.2421360160811</v>
      </c>
      <c r="J31" s="6">
        <f>Table6[[#This Row],[SAR_brain (mW/kg)]]*10^3/Table6[[#This Row],[Input Power (mW)]]</f>
        <v>14.065009348948648</v>
      </c>
    </row>
    <row r="32" spans="1:10" ht="15.75" customHeight="1" x14ac:dyDescent="0.35">
      <c r="A32" s="3">
        <v>3500</v>
      </c>
      <c r="B32" s="3" t="s">
        <v>26</v>
      </c>
      <c r="C32" s="3">
        <v>1</v>
      </c>
      <c r="D32" s="3">
        <f>Table6[[#This Row],[SAR_wholebody (mW/kg)]]*10^3/Table6[[#This Row],[Input Power (mW)]]</f>
        <v>23.99701285356727</v>
      </c>
      <c r="E32" s="3">
        <f>Table6[[#This Row],[SAR_head (mW/kg)]]*10^3/Table6[[#This Row],[Input Power (mW)]]</f>
        <v>194.53977062573819</v>
      </c>
      <c r="F32" s="3">
        <f>Table6[[#This Row],[SAR_trunk (mW/kg)]]*10^3/Table6[[#This Row],[Input Power (mW)]]</f>
        <v>0.37002698013801633</v>
      </c>
      <c r="G32" s="3">
        <f>Table6[[#This Row],[psSAR10g_eyes (mW/kg)]]*10^3/Table6[[#This Row],[Input Power (mW)]]</f>
        <v>1021.9618116963491</v>
      </c>
      <c r="H32" s="3">
        <f>Table6[[#This Row],[psSAR10g_skin (mW/kg)]]*10^3/Table6[[#This Row],[Input Power (mW)]]</f>
        <v>25203.703839103455</v>
      </c>
      <c r="I32" s="3">
        <f>Table6[[#This Row],[psSAR10g_brain (mW/kg)]]*10^3/Table6[[#This Row],[Input Power (mW)]]</f>
        <v>1350.5342915621961</v>
      </c>
      <c r="J32" s="3">
        <f>Table6[[#This Row],[SAR_brain (mW/kg)]]*10^3/Table6[[#This Row],[Input Power (mW)]]</f>
        <v>3.0457174358781818</v>
      </c>
    </row>
    <row r="33" spans="1:10" ht="15.75" customHeight="1" x14ac:dyDescent="0.35">
      <c r="A33" s="4">
        <v>3500</v>
      </c>
      <c r="B33" s="4" t="s">
        <v>27</v>
      </c>
      <c r="C33" s="4">
        <v>1</v>
      </c>
      <c r="D33" s="4">
        <f>Table6[[#This Row],[SAR_wholebody (mW/kg)]]*10^3/Table6[[#This Row],[Input Power (mW)]]</f>
        <v>24.823147563429455</v>
      </c>
      <c r="E33" s="4">
        <f>Table6[[#This Row],[SAR_head (mW/kg)]]*10^3/Table6[[#This Row],[Input Power (mW)]]</f>
        <v>210.52330673565274</v>
      </c>
      <c r="F33" s="4">
        <f>Table6[[#This Row],[SAR_trunk (mW/kg)]]*10^3/Table6[[#This Row],[Input Power (mW)]]</f>
        <v>0.41581621982999273</v>
      </c>
      <c r="G33" s="4">
        <f>Table6[[#This Row],[psSAR10g_eyes (mW/kg)]]*10^3/Table6[[#This Row],[Input Power (mW)]]</f>
        <v>1092.3899602538984</v>
      </c>
      <c r="H33" s="4">
        <f>Table6[[#This Row],[psSAR10g_skin (mW/kg)]]*10^3/Table6[[#This Row],[Input Power (mW)]]</f>
        <v>27670.577193628185</v>
      </c>
      <c r="I33" s="4">
        <f>Table6[[#This Row],[psSAR10g_brain (mW/kg)]]*10^3/Table6[[#This Row],[Input Power (mW)]]</f>
        <v>1016.11027485456</v>
      </c>
      <c r="J33" s="4">
        <f>Table6[[#This Row],[SAR_brain (mW/kg)]]*10^3/Table6[[#This Row],[Input Power (mW)]]</f>
        <v>2.5024780266654547</v>
      </c>
    </row>
    <row r="34" spans="1:10" ht="15.75" customHeight="1" x14ac:dyDescent="0.35">
      <c r="A34" s="5">
        <v>3500</v>
      </c>
      <c r="B34" s="5" t="s">
        <v>28</v>
      </c>
      <c r="C34" s="5">
        <v>1</v>
      </c>
      <c r="D34" s="5">
        <f>Table6[[#This Row],[SAR_wholebody (mW/kg)]]*10^3/Table6[[#This Row],[Input Power (mW)]]</f>
        <v>23.302021609050179</v>
      </c>
      <c r="E34" s="5">
        <f>Table6[[#This Row],[SAR_head (mW/kg)]]*10^3/Table6[[#This Row],[Input Power (mW)]]</f>
        <v>214.61881354808185</v>
      </c>
      <c r="F34" s="5">
        <f>Table6[[#This Row],[SAR_trunk (mW/kg)]]*10^3/Table6[[#This Row],[Input Power (mW)]]</f>
        <v>0.35905983186769092</v>
      </c>
      <c r="G34" s="5">
        <f>Table6[[#This Row],[psSAR10g_eyes (mW/kg)]]*10^3/Table6[[#This Row],[Input Power (mW)]]</f>
        <v>1120.8702199866582</v>
      </c>
      <c r="H34" s="5">
        <f>Table6[[#This Row],[psSAR10g_skin (mW/kg)]]*10^3/Table6[[#This Row],[Input Power (mW)]]</f>
        <v>22992.193190257636</v>
      </c>
      <c r="I34" s="5">
        <f>Table6[[#This Row],[psSAR10g_brain (mW/kg)]]*10^3/Table6[[#This Row],[Input Power (mW)]]</f>
        <v>1776.9395369645581</v>
      </c>
      <c r="J34" s="5">
        <f>Table6[[#This Row],[SAR_brain (mW/kg)]]*10^3/Table6[[#This Row],[Input Power (mW)]]</f>
        <v>3.7513572149945458</v>
      </c>
    </row>
    <row r="35" spans="1:10" ht="15.75" customHeight="1" x14ac:dyDescent="0.35">
      <c r="A35" s="4">
        <v>3500</v>
      </c>
      <c r="B35" s="4" t="s">
        <v>29</v>
      </c>
      <c r="C35" s="4">
        <v>1</v>
      </c>
      <c r="D35" s="4">
        <f>Table6[[#This Row],[SAR_wholebody (mW/kg)]]*10^3/Table6[[#This Row],[Input Power (mW)]]</f>
        <v>11.190411693446709</v>
      </c>
      <c r="E35" s="4">
        <f>Table6[[#This Row],[SAR_head (mW/kg)]]*10^3/Table6[[#This Row],[Input Power (mW)]]</f>
        <v>118.76417343715981</v>
      </c>
      <c r="F35" s="4">
        <f>Table6[[#This Row],[SAR_trunk (mW/kg)]]*10^3/Table6[[#This Row],[Input Power (mW)]]</f>
        <v>0.23397135517940365</v>
      </c>
      <c r="G35" s="4">
        <f>Table6[[#This Row],[psSAR10g_eyes (mW/kg)]]*10^3/Table6[[#This Row],[Input Power (mW)]]</f>
        <v>767.27973137081824</v>
      </c>
      <c r="H35" s="4">
        <f>Table6[[#This Row],[psSAR10g_skin (mW/kg)]]*10^3/Table6[[#This Row],[Input Power (mW)]]</f>
        <v>5266.3719607863641</v>
      </c>
      <c r="I35" s="4">
        <f>Table6[[#This Row],[psSAR10g_brain (mW/kg)]]*10^3/Table6[[#This Row],[Input Power (mW)]]</f>
        <v>1404.5557749680761</v>
      </c>
      <c r="J35" s="4">
        <f>Table6[[#This Row],[SAR_brain (mW/kg)]]*10^3/Table6[[#This Row],[Input Power (mW)]]</f>
        <v>6.385044183543636</v>
      </c>
    </row>
    <row r="36" spans="1:10" ht="15.75" customHeight="1" x14ac:dyDescent="0.35">
      <c r="A36" s="5">
        <v>3500</v>
      </c>
      <c r="B36" s="5" t="s">
        <v>30</v>
      </c>
      <c r="C36" s="5">
        <v>1</v>
      </c>
      <c r="D36" s="5">
        <f>Table6[[#This Row],[SAR_wholebody (mW/kg)]]*10^3/Table6[[#This Row],[Input Power (mW)]]</f>
        <v>10.986577989022019</v>
      </c>
      <c r="E36" s="5">
        <f>Table6[[#This Row],[SAR_head (mW/kg)]]*10^3/Table6[[#This Row],[Input Power (mW)]]</f>
        <v>121.896084774212</v>
      </c>
      <c r="F36" s="5">
        <f>Table6[[#This Row],[SAR_trunk (mW/kg)]]*10^3/Table6[[#This Row],[Input Power (mW)]]</f>
        <v>0.21663003090149638</v>
      </c>
      <c r="G36" s="5">
        <f>Table6[[#This Row],[psSAR10g_eyes (mW/kg)]]*10^3/Table6[[#This Row],[Input Power (mW)]]</f>
        <v>742.11016043124903</v>
      </c>
      <c r="H36" s="5">
        <f>Table6[[#This Row],[psSAR10g_skin (mW/kg)]]*10^3/Table6[[#This Row],[Input Power (mW)]]</f>
        <v>4343.8193685970909</v>
      </c>
      <c r="I36" s="5">
        <f>Table6[[#This Row],[psSAR10g_brain (mW/kg)]]*10^3/Table6[[#This Row],[Input Power (mW)]]</f>
        <v>1475.6677979818016</v>
      </c>
      <c r="J36" s="5">
        <f>Table6[[#This Row],[SAR_brain (mW/kg)]]*10^3/Table6[[#This Row],[Input Power (mW)]]</f>
        <v>7.2447817061381814</v>
      </c>
    </row>
    <row r="37" spans="1:10" ht="15.75" customHeight="1" thickBot="1" x14ac:dyDescent="0.4">
      <c r="A37" s="6">
        <v>3500</v>
      </c>
      <c r="B37" s="6" t="s">
        <v>31</v>
      </c>
      <c r="C37" s="6">
        <v>1</v>
      </c>
      <c r="D37" s="6">
        <f>Table6[[#This Row],[SAR_wholebody (mW/kg)]]*10^3/Table6[[#This Row],[Input Power (mW)]]</f>
        <v>11.447182055118255</v>
      </c>
      <c r="E37" s="6">
        <f>Table6[[#This Row],[SAR_head (mW/kg)]]*10^3/Table6[[#This Row],[Input Power (mW)]]</f>
        <v>115.24933523020474</v>
      </c>
      <c r="F37" s="6">
        <f>Table6[[#This Row],[SAR_trunk (mW/kg)]]*10^3/Table6[[#This Row],[Input Power (mW)]]</f>
        <v>0.23336688397056726</v>
      </c>
      <c r="G37" s="6">
        <f>Table6[[#This Row],[psSAR10g_eyes (mW/kg)]]*10^3/Table6[[#This Row],[Input Power (mW)]]</f>
        <v>724.59896218831091</v>
      </c>
      <c r="H37" s="6">
        <f>Table6[[#This Row],[psSAR10g_skin (mW/kg)]]*10^3/Table6[[#This Row],[Input Power (mW)]]</f>
        <v>5997.1718123074543</v>
      </c>
      <c r="I37" s="6">
        <f>Table6[[#This Row],[psSAR10g_brain (mW/kg)]]*10^3/Table6[[#This Row],[Input Power (mW)]]</f>
        <v>1209.491846429371</v>
      </c>
      <c r="J37" s="6">
        <f>Table6[[#This Row],[SAR_brain (mW/kg)]]*10^3/Table6[[#This Row],[Input Power (mW)]]</f>
        <v>5.5576028941818185</v>
      </c>
    </row>
    <row r="38" spans="1:10" ht="15.75" customHeight="1" x14ac:dyDescent="0.35">
      <c r="A38" s="3">
        <v>5200</v>
      </c>
      <c r="B38" s="3" t="s">
        <v>26</v>
      </c>
      <c r="C38" s="3">
        <v>1</v>
      </c>
      <c r="D38" s="3">
        <f>Table6[[#This Row],[SAR_wholebody (mW/kg)]]*10^3/Table6[[#This Row],[Input Power (mW)]]</f>
        <v>16.577771292433397</v>
      </c>
      <c r="E38" s="3">
        <f>Table6[[#This Row],[SAR_head (mW/kg)]]*10^3/Table6[[#This Row],[Input Power (mW)]]</f>
        <v>137.16758061041284</v>
      </c>
      <c r="F38" s="3">
        <f>Table6[[#This Row],[SAR_trunk (mW/kg)]]*10^3/Table6[[#This Row],[Input Power (mW)]]</f>
        <v>0.54370954195688492</v>
      </c>
      <c r="G38" s="3">
        <f>Table6[[#This Row],[psSAR10g_eyes (mW/kg)]]*10^3/Table6[[#This Row],[Input Power (mW)]]</f>
        <v>692.51126373083207</v>
      </c>
      <c r="H38" s="3">
        <f>Table6[[#This Row],[psSAR10g_skin (mW/kg)]]*10^3/Table6[[#This Row],[Input Power (mW)]]</f>
        <v>21611.37265713849</v>
      </c>
      <c r="I38" s="3">
        <f>Table6[[#This Row],[psSAR10g_brain (mW/kg)]]*10^3/Table6[[#This Row],[Input Power (mW)]]</f>
        <v>235.11667499864714</v>
      </c>
      <c r="J38" s="3">
        <f>Table6[[#This Row],[SAR_brain (mW/kg)]]*10^3/Table6[[#This Row],[Input Power (mW)]]</f>
        <v>0.43357846920193188</v>
      </c>
    </row>
    <row r="39" spans="1:10" ht="15.75" customHeight="1" x14ac:dyDescent="0.35">
      <c r="A39" s="4">
        <v>5200</v>
      </c>
      <c r="B39" s="4" t="s">
        <v>27</v>
      </c>
      <c r="C39" s="4">
        <v>1</v>
      </c>
      <c r="D39" s="4">
        <f>Table6[[#This Row],[SAR_wholebody (mW/kg)]]*10^3/Table6[[#This Row],[Input Power (mW)]]</f>
        <v>17.886726585088169</v>
      </c>
      <c r="E39" s="4">
        <f>Table6[[#This Row],[SAR_head (mW/kg)]]*10^3/Table6[[#This Row],[Input Power (mW)]]</f>
        <v>148.51777613162017</v>
      </c>
      <c r="F39" s="4">
        <f>Table6[[#This Row],[SAR_trunk (mW/kg)]]*10^3/Table6[[#This Row],[Input Power (mW)]]</f>
        <v>0.53520670925631508</v>
      </c>
      <c r="G39" s="4">
        <f>Table6[[#This Row],[psSAR10g_eyes (mW/kg)]]*10^3/Table6[[#This Row],[Input Power (mW)]]</f>
        <v>677.94116761811142</v>
      </c>
      <c r="H39" s="4">
        <f>Table6[[#This Row],[psSAR10g_skin (mW/kg)]]*10^3/Table6[[#This Row],[Input Power (mW)]]</f>
        <v>27062.044886779815</v>
      </c>
      <c r="I39" s="4">
        <f>Table6[[#This Row],[psSAR10g_brain (mW/kg)]]*10^3/Table6[[#This Row],[Input Power (mW)]]</f>
        <v>206.1665270434321</v>
      </c>
      <c r="J39" s="4">
        <f>Table6[[#This Row],[SAR_brain (mW/kg)]]*10^3/Table6[[#This Row],[Input Power (mW)]]</f>
        <v>0.42159060868460208</v>
      </c>
    </row>
    <row r="40" spans="1:10" ht="15.75" customHeight="1" x14ac:dyDescent="0.35">
      <c r="A40" s="5">
        <v>5200</v>
      </c>
      <c r="B40" s="5" t="s">
        <v>28</v>
      </c>
      <c r="C40" s="5">
        <v>1</v>
      </c>
      <c r="D40" s="5">
        <f>Table6[[#This Row],[SAR_wholebody (mW/kg)]]*10^3/Table6[[#This Row],[Input Power (mW)]]</f>
        <v>15.813743375593811</v>
      </c>
      <c r="E40" s="5">
        <f>Table6[[#This Row],[SAR_head (mW/kg)]]*10^3/Table6[[#This Row],[Input Power (mW)]]</f>
        <v>121.06007481680885</v>
      </c>
      <c r="F40" s="5">
        <f>Table6[[#This Row],[SAR_trunk (mW/kg)]]*10^3/Table6[[#This Row],[Input Power (mW)]]</f>
        <v>0.50720411370471696</v>
      </c>
      <c r="G40" s="5">
        <f>Table6[[#This Row],[psSAR10g_eyes (mW/kg)]]*10^3/Table6[[#This Row],[Input Power (mW)]]</f>
        <v>706.41671324563958</v>
      </c>
      <c r="H40" s="5">
        <f>Table6[[#This Row],[psSAR10g_skin (mW/kg)]]*10^3/Table6[[#This Row],[Input Power (mW)]]</f>
        <v>17647.365147496846</v>
      </c>
      <c r="I40" s="5">
        <f>Table6[[#This Row],[psSAR10g_brain (mW/kg)]]*10^3/Table6[[#This Row],[Input Power (mW)]]</f>
        <v>305.39166904855472</v>
      </c>
      <c r="J40" s="5">
        <f>Table6[[#This Row],[SAR_brain (mW/kg)]]*10^3/Table6[[#This Row],[Input Power (mW)]]</f>
        <v>0.43677632388469761</v>
      </c>
    </row>
    <row r="41" spans="1:10" ht="15.75" customHeight="1" x14ac:dyDescent="0.35">
      <c r="A41" s="4">
        <v>5200</v>
      </c>
      <c r="B41" s="4" t="s">
        <v>29</v>
      </c>
      <c r="C41" s="4">
        <v>1</v>
      </c>
      <c r="D41" s="4">
        <f>Table6[[#This Row],[SAR_wholebody (mW/kg)]]*10^3/Table6[[#This Row],[Input Power (mW)]]</f>
        <v>7.9249695494153025</v>
      </c>
      <c r="E41" s="4">
        <f>Table6[[#This Row],[SAR_head (mW/kg)]]*10^3/Table6[[#This Row],[Input Power (mW)]]</f>
        <v>87.911181980039999</v>
      </c>
      <c r="F41" s="4">
        <f>Table6[[#This Row],[SAR_trunk (mW/kg)]]*10^3/Table6[[#This Row],[Input Power (mW)]]</f>
        <v>0.31257864539362079</v>
      </c>
      <c r="G41" s="4">
        <f>Table6[[#This Row],[psSAR10g_eyes (mW/kg)]]*10^3/Table6[[#This Row],[Input Power (mW)]]</f>
        <v>574.73730179050187</v>
      </c>
      <c r="H41" s="4">
        <f>Table6[[#This Row],[psSAR10g_skin (mW/kg)]]*10^3/Table6[[#This Row],[Input Power (mW)]]</f>
        <v>4862.406609597736</v>
      </c>
      <c r="I41" s="4">
        <f>Table6[[#This Row],[psSAR10g_brain (mW/kg)]]*10^3/Table6[[#This Row],[Input Power (mW)]]</f>
        <v>851.02263488029996</v>
      </c>
      <c r="J41" s="4">
        <f>Table6[[#This Row],[SAR_brain (mW/kg)]]*10^3/Table6[[#This Row],[Input Power (mW)]]</f>
        <v>1.3616525836789739</v>
      </c>
    </row>
    <row r="42" spans="1:10" ht="15.75" customHeight="1" x14ac:dyDescent="0.35">
      <c r="A42" s="5">
        <v>5200</v>
      </c>
      <c r="B42" s="5" t="s">
        <v>30</v>
      </c>
      <c r="C42" s="5">
        <v>1</v>
      </c>
      <c r="D42" s="5">
        <f>Table6[[#This Row],[SAR_wholebody (mW/kg)]]*10^3/Table6[[#This Row],[Input Power (mW)]]</f>
        <v>7.7429083198042639</v>
      </c>
      <c r="E42" s="5">
        <f>Table6[[#This Row],[SAR_head (mW/kg)]]*10^3/Table6[[#This Row],[Input Power (mW)]]</f>
        <v>90.352897792913964</v>
      </c>
      <c r="F42" s="5">
        <f>Table6[[#This Row],[SAR_trunk (mW/kg)]]*10^3/Table6[[#This Row],[Input Power (mW)]]</f>
        <v>0.30103010950741887</v>
      </c>
      <c r="G42" s="5">
        <f>Table6[[#This Row],[psSAR10g_eyes (mW/kg)]]*10^3/Table6[[#This Row],[Input Power (mW)]]</f>
        <v>457.45768979263585</v>
      </c>
      <c r="H42" s="5">
        <f>Table6[[#This Row],[psSAR10g_skin (mW/kg)]]*10^3/Table6[[#This Row],[Input Power (mW)]]</f>
        <v>4201.5002416970001</v>
      </c>
      <c r="I42" s="5">
        <f>Table6[[#This Row],[psSAR10g_brain (mW/kg)]]*10^3/Table6[[#This Row],[Input Power (mW)]]</f>
        <v>888.41907479865097</v>
      </c>
      <c r="J42" s="5">
        <f>Table6[[#This Row],[SAR_brain (mW/kg)]]*10^3/Table6[[#This Row],[Input Power (mW)]]</f>
        <v>1.6747329217536462</v>
      </c>
    </row>
    <row r="43" spans="1:10" ht="15.75" customHeight="1" thickBot="1" x14ac:dyDescent="0.4">
      <c r="A43" s="6">
        <v>5200</v>
      </c>
      <c r="B43" s="6" t="s">
        <v>31</v>
      </c>
      <c r="C43" s="6">
        <v>1</v>
      </c>
      <c r="D43" s="6">
        <f>Table6[[#This Row],[SAR_wholebody (mW/kg)]]*10^3/Table6[[#This Row],[Input Power (mW)]]</f>
        <v>7.9636509346170383</v>
      </c>
      <c r="E43" s="6">
        <f>Table6[[#This Row],[SAR_head (mW/kg)]]*10^3/Table6[[#This Row],[Input Power (mW)]]</f>
        <v>86.665538048656032</v>
      </c>
      <c r="F43" s="6">
        <f>Table6[[#This Row],[SAR_trunk (mW/kg)]]*10^3/Table6[[#This Row],[Input Power (mW)]]</f>
        <v>0.29371342347467549</v>
      </c>
      <c r="G43" s="6">
        <f>Table6[[#This Row],[psSAR10g_eyes (mW/kg)]]*10^3/Table6[[#This Row],[Input Power (mW)]]</f>
        <v>637.88196146730195</v>
      </c>
      <c r="H43" s="6">
        <f>Table6[[#This Row],[psSAR10g_skin (mW/kg)]]*10^3/Table6[[#This Row],[Input Power (mW)]]</f>
        <v>5285.6952631799995</v>
      </c>
      <c r="I43" s="6">
        <f>Table6[[#This Row],[psSAR10g_brain (mW/kg)]]*10^3/Table6[[#This Row],[Input Power (mW)]]</f>
        <v>587.14688072567742</v>
      </c>
      <c r="J43" s="6">
        <f>Table6[[#This Row],[SAR_brain (mW/kg)]]*10^3/Table6[[#This Row],[Input Power (mW)]]</f>
        <v>1.0703148082715745</v>
      </c>
    </row>
    <row r="44" spans="1:10" ht="15.75" customHeight="1" x14ac:dyDescent="0.35">
      <c r="A44" s="3">
        <v>5800</v>
      </c>
      <c r="B44" s="3" t="s">
        <v>26</v>
      </c>
      <c r="C44" s="3">
        <v>1</v>
      </c>
      <c r="D44" s="3">
        <f>Table6[[#This Row],[SAR_wholebody (mW/kg)]]*10^3/Table6[[#This Row],[Input Power (mW)]]</f>
        <v>14.944778916234352</v>
      </c>
      <c r="E44" s="3">
        <f>Table6[[#This Row],[SAR_head (mW/kg)]]*10^3/Table6[[#This Row],[Input Power (mW)]]</f>
        <v>117.06152388859554</v>
      </c>
      <c r="F44" s="3">
        <f>Table6[[#This Row],[SAR_trunk (mW/kg)]]*10^3/Table6[[#This Row],[Input Power (mW)]]</f>
        <v>0.40638427728131665</v>
      </c>
      <c r="G44" s="3">
        <f>Table6[[#This Row],[psSAR10g_eyes (mW/kg)]]*10^3/Table6[[#This Row],[Input Power (mW)]]</f>
        <v>748.42096924421298</v>
      </c>
      <c r="H44" s="3">
        <f>Table6[[#This Row],[psSAR10g_skin (mW/kg)]]*10^3/Table6[[#This Row],[Input Power (mW)]]</f>
        <v>18247.362184688373</v>
      </c>
      <c r="I44" s="3">
        <f>Table6[[#This Row],[psSAR10g_brain (mW/kg)]]*10^3/Table6[[#This Row],[Input Power (mW)]]</f>
        <v>272.52117281046299</v>
      </c>
      <c r="J44" s="3">
        <f>Table6[[#This Row],[SAR_brain (mW/kg)]]*10^3/Table6[[#This Row],[Input Power (mW)]]</f>
        <v>0.28939132938335482</v>
      </c>
    </row>
    <row r="45" spans="1:10" ht="15.75" customHeight="1" x14ac:dyDescent="0.35">
      <c r="A45" s="4">
        <v>5800</v>
      </c>
      <c r="B45" s="4" t="s">
        <v>27</v>
      </c>
      <c r="C45" s="4">
        <v>1</v>
      </c>
      <c r="D45" s="4">
        <f>Table6[[#This Row],[SAR_wholebody (mW/kg)]]*10^3/Table6[[#This Row],[Input Power (mW)]]</f>
        <v>15.943827073086409</v>
      </c>
      <c r="E45" s="4">
        <f>Table6[[#This Row],[SAR_head (mW/kg)]]*10^3/Table6[[#This Row],[Input Power (mW)]]</f>
        <v>132.49227846449591</v>
      </c>
      <c r="F45" s="4">
        <f>Table6[[#This Row],[SAR_trunk (mW/kg)]]*10^3/Table6[[#This Row],[Input Power (mW)]]</f>
        <v>0.40370431617140184</v>
      </c>
      <c r="G45" s="4">
        <f>Table6[[#This Row],[psSAR10g_eyes (mW/kg)]]*10^3/Table6[[#This Row],[Input Power (mW)]]</f>
        <v>708.45509414016658</v>
      </c>
      <c r="H45" s="4">
        <f>Table6[[#This Row],[psSAR10g_skin (mW/kg)]]*10^3/Table6[[#This Row],[Input Power (mW)]]</f>
        <v>22708.410006149814</v>
      </c>
      <c r="I45" s="4">
        <f>Table6[[#This Row],[psSAR10g_brain (mW/kg)]]*10^3/Table6[[#This Row],[Input Power (mW)]]</f>
        <v>224.89560303648889</v>
      </c>
      <c r="J45" s="4">
        <f>Table6[[#This Row],[SAR_brain (mW/kg)]]*10^3/Table6[[#This Row],[Input Power (mW)]]</f>
        <v>0.2739740831931054</v>
      </c>
    </row>
    <row r="46" spans="1:10" ht="15.75" customHeight="1" x14ac:dyDescent="0.35">
      <c r="A46" s="5">
        <v>5800</v>
      </c>
      <c r="B46" s="5" t="s">
        <v>28</v>
      </c>
      <c r="C46" s="5">
        <v>1</v>
      </c>
      <c r="D46" s="5">
        <f>Table6[[#This Row],[SAR_wholebody (mW/kg)]]*10^3/Table6[[#This Row],[Input Power (mW)]]</f>
        <v>14.334642267629981</v>
      </c>
      <c r="E46" s="5">
        <f>Table6[[#This Row],[SAR_head (mW/kg)]]*10^3/Table6[[#This Row],[Input Power (mW)]]</f>
        <v>110.60177525402703</v>
      </c>
      <c r="F46" s="5">
        <f>Table6[[#This Row],[SAR_trunk (mW/kg)]]*10^3/Table6[[#This Row],[Input Power (mW)]]</f>
        <v>0.36424437811137778</v>
      </c>
      <c r="G46" s="5">
        <f>Table6[[#This Row],[psSAR10g_eyes (mW/kg)]]*10^3/Table6[[#This Row],[Input Power (mW)]]</f>
        <v>959.06957908527966</v>
      </c>
      <c r="H46" s="5">
        <f>Table6[[#This Row],[psSAR10g_skin (mW/kg)]]*10^3/Table6[[#This Row],[Input Power (mW)]]</f>
        <v>15416.517474301259</v>
      </c>
      <c r="I46" s="5">
        <f>Table6[[#This Row],[psSAR10g_brain (mW/kg)]]*10^3/Table6[[#This Row],[Input Power (mW)]]</f>
        <v>331.15497176424077</v>
      </c>
      <c r="J46" s="5">
        <f>Table6[[#This Row],[SAR_brain (mW/kg)]]*10^3/Table6[[#This Row],[Input Power (mW)]]</f>
        <v>0.28276504302726518</v>
      </c>
    </row>
    <row r="47" spans="1:10" ht="15.75" customHeight="1" x14ac:dyDescent="0.35">
      <c r="A47" s="4">
        <v>5800</v>
      </c>
      <c r="B47" s="4" t="s">
        <v>29</v>
      </c>
      <c r="C47" s="4">
        <v>1</v>
      </c>
      <c r="D47" s="4">
        <f>Table6[[#This Row],[SAR_wholebody (mW/kg)]]*10^3/Table6[[#This Row],[Input Power (mW)]]</f>
        <v>7.7598864560918344</v>
      </c>
      <c r="E47" s="4">
        <f>Table6[[#This Row],[SAR_head (mW/kg)]]*10^3/Table6[[#This Row],[Input Power (mW)]]</f>
        <v>82.673756588107594</v>
      </c>
      <c r="F47" s="4">
        <f>Table6[[#This Row],[SAR_trunk (mW/kg)]]*10^3/Table6[[#This Row],[Input Power (mW)]]</f>
        <v>0.26939958020790927</v>
      </c>
      <c r="G47" s="4">
        <f>Table6[[#This Row],[psSAR10g_eyes (mW/kg)]]*10^3/Table6[[#This Row],[Input Power (mW)]]</f>
        <v>496.2857578013593</v>
      </c>
      <c r="H47" s="4">
        <f>Table6[[#This Row],[psSAR10g_skin (mW/kg)]]*10^3/Table6[[#This Row],[Input Power (mW)]]</f>
        <v>5175.4621026537779</v>
      </c>
      <c r="I47" s="4">
        <f>Table6[[#This Row],[psSAR10g_brain (mW/kg)]]*10^3/Table6[[#This Row],[Input Power (mW)]]</f>
        <v>781.6721115383815</v>
      </c>
      <c r="J47" s="4">
        <f>Table6[[#This Row],[SAR_brain (mW/kg)]]*10^3/Table6[[#This Row],[Input Power (mW)]]</f>
        <v>0.74935875130723339</v>
      </c>
    </row>
    <row r="48" spans="1:10" ht="15.75" customHeight="1" x14ac:dyDescent="0.35">
      <c r="A48" s="5">
        <v>5800</v>
      </c>
      <c r="B48" s="5" t="s">
        <v>30</v>
      </c>
      <c r="C48" s="5">
        <v>1</v>
      </c>
      <c r="D48" s="5">
        <f>Table6[[#This Row],[SAR_wholebody (mW/kg)]]*10^3/Table6[[#This Row],[Input Power (mW)]]</f>
        <v>7.5750053655279999</v>
      </c>
      <c r="E48" s="5">
        <f>Table6[[#This Row],[SAR_head (mW/kg)]]*10^3/Table6[[#This Row],[Input Power (mW)]]</f>
        <v>87.435326746693889</v>
      </c>
      <c r="F48" s="5">
        <f>Table6[[#This Row],[SAR_trunk (mW/kg)]]*10^3/Table6[[#This Row],[Input Power (mW)]]</f>
        <v>0.23883599766432961</v>
      </c>
      <c r="G48" s="5">
        <f>Table6[[#This Row],[psSAR10g_eyes (mW/kg)]]*10^3/Table6[[#This Row],[Input Power (mW)]]</f>
        <v>395.13042431905001</v>
      </c>
      <c r="H48" s="5">
        <f>Table6[[#This Row],[psSAR10g_skin (mW/kg)]]*10^3/Table6[[#This Row],[Input Power (mW)]]</f>
        <v>4449.5511169723331</v>
      </c>
      <c r="I48" s="5">
        <f>Table6[[#This Row],[psSAR10g_brain (mW/kg)]]*10^3/Table6[[#This Row],[Input Power (mW)]]</f>
        <v>896.53009012468522</v>
      </c>
      <c r="J48" s="5">
        <f>Table6[[#This Row],[SAR_brain (mW/kg)]]*10^3/Table6[[#This Row],[Input Power (mW)]]</f>
        <v>0.97388274887946102</v>
      </c>
    </row>
    <row r="49" spans="1:10" ht="15.75" customHeight="1" thickBot="1" x14ac:dyDescent="0.4">
      <c r="A49" s="6">
        <v>5800</v>
      </c>
      <c r="B49" s="6" t="s">
        <v>31</v>
      </c>
      <c r="C49" s="6">
        <v>1</v>
      </c>
      <c r="D49" s="6">
        <f>Table6[[#This Row],[SAR_wholebody (mW/kg)]]*10^3/Table6[[#This Row],[Input Power (mW)]]</f>
        <v>7.733508050091296</v>
      </c>
      <c r="E49" s="6">
        <f>Table6[[#This Row],[SAR_head (mW/kg)]]*10^3/Table6[[#This Row],[Input Power (mW)]]</f>
        <v>79.262987265103703</v>
      </c>
      <c r="F49" s="6">
        <f>Table6[[#This Row],[SAR_trunk (mW/kg)]]*10^3/Table6[[#This Row],[Input Power (mW)]]</f>
        <v>0.25507545055154629</v>
      </c>
      <c r="G49" s="6">
        <f>Table6[[#This Row],[psSAR10g_eyes (mW/kg)]]*10^3/Table6[[#This Row],[Input Power (mW)]]</f>
        <v>541.80669019662594</v>
      </c>
      <c r="H49" s="6">
        <f>Table6[[#This Row],[psSAR10g_skin (mW/kg)]]*10^3/Table6[[#This Row],[Input Power (mW)]]</f>
        <v>5668.843600849611</v>
      </c>
      <c r="I49" s="6">
        <f>Table6[[#This Row],[psSAR10g_brain (mW/kg)]]*10^3/Table6[[#This Row],[Input Power (mW)]]</f>
        <v>658.23480068983133</v>
      </c>
      <c r="J49" s="6">
        <f>Table6[[#This Row],[SAR_brain (mW/kg)]]*10^3/Table6[[#This Row],[Input Power (mW)]]</f>
        <v>0.58359288680359156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Thelonious_fronteyes</vt:lpstr>
      <vt:lpstr>Thelonious_fronteyes_normalized</vt:lpstr>
      <vt:lpstr>Thelonious_belly</vt:lpstr>
      <vt:lpstr>Thelonious_belly_normalized</vt:lpstr>
      <vt:lpstr>Thelonious_ear</vt:lpstr>
      <vt:lpstr>Thelonious_ear_normalized</vt:lpstr>
      <vt:lpstr>Eartha_fronteyes</vt:lpstr>
      <vt:lpstr>Eartha_fronteyes_normalized</vt:lpstr>
      <vt:lpstr>Eartha_belly</vt:lpstr>
      <vt:lpstr>Eartha_belly_normalized</vt:lpstr>
      <vt:lpstr>Eartha_ear</vt:lpstr>
      <vt:lpstr>Eartha_ear_normalized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Fabrice Keller</cp:lastModifiedBy>
  <cp:revision>0</cp:revision>
  <dcterms:created xsi:type="dcterms:W3CDTF">2025-12-16T17:42:03Z</dcterms:created>
  <dcterms:modified xsi:type="dcterms:W3CDTF">2026-09-17T15:09:01Z</dcterms:modified>
  <dc:language>en-US</dc:language>
</cp:coreProperties>
</file>