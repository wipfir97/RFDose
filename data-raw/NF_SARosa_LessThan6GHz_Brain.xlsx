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J:\EEH\EMF\ETAIN\06_WP2\SAR\YODA_2026\"/>
    </mc:Choice>
  </mc:AlternateContent>
  <xr:revisionPtr revIDLastSave="0" documentId="13_ncr:1_{671BE566-8A2C-4252-AA03-BD0233B89C50}" xr6:coauthVersionLast="47" xr6:coauthVersionMax="47" xr10:uidLastSave="{00000000-0000-0000-0000-000000000000}"/>
  <bookViews>
    <workbookView xWindow="7320" yWindow="-17790" windowWidth="28440" windowHeight="17175" xr2:uid="{D794AC7F-0FEF-4EBE-A9EB-7E0CB86EA5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1" l="1"/>
  <c r="I2" i="1"/>
  <c r="H2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I4" i="1"/>
  <c r="J62" i="1"/>
  <c r="I3" i="1"/>
  <c r="I5" i="1"/>
  <c r="I6" i="1"/>
  <c r="I7" i="1"/>
  <c r="I8" i="1"/>
  <c r="I9" i="1"/>
  <c r="I10" i="1"/>
  <c r="I12" i="1"/>
  <c r="I13" i="1"/>
  <c r="I14" i="1"/>
  <c r="I15" i="1"/>
  <c r="I16" i="1"/>
  <c r="I17" i="1"/>
  <c r="I18" i="1"/>
  <c r="I19" i="1"/>
  <c r="I20" i="1"/>
  <c r="I22" i="1"/>
  <c r="I23" i="1"/>
  <c r="I24" i="1"/>
  <c r="I25" i="1"/>
  <c r="I26" i="1"/>
  <c r="I27" i="1"/>
  <c r="I28" i="1"/>
  <c r="I29" i="1"/>
  <c r="I30" i="1"/>
  <c r="I32" i="1"/>
  <c r="I33" i="1"/>
  <c r="I34" i="1"/>
  <c r="I35" i="1"/>
  <c r="I36" i="1"/>
  <c r="I37" i="1"/>
  <c r="I38" i="1"/>
  <c r="I39" i="1"/>
  <c r="I40" i="1"/>
  <c r="I42" i="1"/>
  <c r="I43" i="1"/>
  <c r="I44" i="1"/>
  <c r="I45" i="1"/>
  <c r="I46" i="1"/>
  <c r="I47" i="1"/>
  <c r="I48" i="1"/>
  <c r="I49" i="1"/>
  <c r="I50" i="1"/>
  <c r="I52" i="1"/>
  <c r="I53" i="1"/>
  <c r="I54" i="1"/>
  <c r="I55" i="1"/>
  <c r="I56" i="1"/>
  <c r="I57" i="1"/>
  <c r="I58" i="1"/>
  <c r="I59" i="1"/>
  <c r="I60" i="1"/>
  <c r="I62" i="1"/>
  <c r="I63" i="1"/>
  <c r="I65" i="1"/>
  <c r="I66" i="1"/>
  <c r="I68" i="1"/>
</calcChain>
</file>

<file path=xl/sharedStrings.xml><?xml version="1.0" encoding="utf-8"?>
<sst xmlns="http://schemas.openxmlformats.org/spreadsheetml/2006/main" count="50" uniqueCount="36">
  <si>
    <t>Scenario</t>
  </si>
  <si>
    <t>Frequency [MHz]</t>
  </si>
  <si>
    <t>Brain SARosa, Duke [mW/kg/W]</t>
  </si>
  <si>
    <t>Brain SARosa, Ella [mW/kg/W]</t>
  </si>
  <si>
    <t>Accepted power, Duke [mW]</t>
  </si>
  <si>
    <t>Accepted power, Ella [mW]</t>
  </si>
  <si>
    <t>phone call</t>
  </si>
  <si>
    <t>at ear</t>
  </si>
  <si>
    <t>700-5000</t>
  </si>
  <si>
    <t>phone data activity</t>
  </si>
  <si>
    <t>lap</t>
  </si>
  <si>
    <t>2450, 5000</t>
  </si>
  <si>
    <t>table</t>
  </si>
  <si>
    <t>wrist</t>
  </si>
  <si>
    <t>nr</t>
  </si>
  <si>
    <t>Simulation</t>
  </si>
  <si>
    <t>Sub-Scenario</t>
  </si>
  <si>
    <t>Frequencies (MHz)</t>
  </si>
  <si>
    <t>Dipole antenna placed 45° tilted at 1 cm from the right ear</t>
  </si>
  <si>
    <t>Dipole antenna placed vertically at 10 cm in front of the mouth</t>
  </si>
  <si>
    <t>front of the mouth</t>
  </si>
  <si>
    <t>Dipole antenna placed vertically at 30 cm in front of the mouth</t>
  </si>
  <si>
    <t>Dipole antenna placed vertically on the right hip</t>
  </si>
  <si>
    <t>(1 cm separation)</t>
  </si>
  <si>
    <t>In pocket</t>
  </si>
  <si>
    <t>Dipole antenna placed vertically on the legs, phantom sitting position</t>
  </si>
  <si>
    <t>Laptop, tablet</t>
  </si>
  <si>
    <t>Dipole antenna placed vertically 10 cm higher and 30 cm further from the body than the position described above</t>
  </si>
  <si>
    <t>Dipole antenna placed vertically next to the right ear</t>
  </si>
  <si>
    <t>(1 mm separation)</t>
  </si>
  <si>
    <t>Bluetooth earbuds</t>
  </si>
  <si>
    <t>Dipole antenna placed vertically next to the left ear</t>
  </si>
  <si>
    <t>Dipole antenna placed horizontally on the right wrist</t>
  </si>
  <si>
    <t>Bluetooth device</t>
  </si>
  <si>
    <t>Mean (W/kg/W)</t>
  </si>
  <si>
    <t>Mean (mW/kg/W)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</si>
</sst>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b/>
      <sz val="11"/>
      <color rgb="FFFFFFFF"/>
      <name val="Calibri"/>
      <family val="2"/>
      <scheme val="minor"/>
    </font>
    <font>
      <b/>
      <sz val="8"/>
      <color rgb="FF000000"/>
      <name val="Aptos Narrow"/>
      <family val="2"/>
    </font>
    <font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Aptos Narrow"/>
      <family val="2"/>
    </font>
    <font>
      <sz val="8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CCCCCC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666666"/>
      </left>
      <right style="medium">
        <color rgb="FF666666"/>
      </right>
      <top/>
      <bottom style="medium">
        <color rgb="FF666666"/>
      </bottom>
      <diagonal/>
    </border>
    <border>
      <left/>
      <right style="medium">
        <color rgb="FF666666"/>
      </right>
      <top/>
      <bottom style="medium">
        <color rgb="FF666666"/>
      </bottom>
      <diagonal/>
    </border>
    <border>
      <left/>
      <right style="medium">
        <color rgb="FF666666"/>
      </right>
      <top/>
      <bottom/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0" fontId="5" fillId="0" borderId="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0" fillId="0" borderId="7" xfId="0" applyBorder="1" applyAlignment="1">
      <alignment vertical="top" wrapText="1"/>
    </xf>
    <xf numFmtId="0" fontId="0" fillId="0" borderId="4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06DDA-C854-4B5B-823B-B0C9FDDA1BD3}">
  <dimension ref="A1:X68"/>
  <sheetViews>
    <sheetView tabSelected="1" topLeftCell="K15" zoomScale="98" workbookViewId="0">
      <selection activeCell="S26" sqref="S26"/>
    </sheetView>
  </sheetViews>
  <sheetFormatPr defaultRowHeight="14.5" x14ac:dyDescent="0.35"/>
  <cols>
    <col min="2" max="2" width="15.36328125" bestFit="1" customWidth="1"/>
    <col min="3" max="3" width="28.7265625" bestFit="1" customWidth="1"/>
    <col min="4" max="4" width="27.1796875" bestFit="1" customWidth="1"/>
    <col min="5" max="5" width="25.7265625" customWidth="1"/>
    <col min="6" max="6" width="24.36328125" customWidth="1"/>
    <col min="7" max="7" width="8.7265625" customWidth="1"/>
    <col min="8" max="8" width="19.1796875" customWidth="1"/>
    <col min="9" max="9" width="15.08984375" bestFit="1" customWidth="1"/>
    <col min="10" max="10" width="10.1796875" bestFit="1" customWidth="1"/>
    <col min="18" max="18" width="7.6328125" bestFit="1" customWidth="1"/>
    <col min="19" max="19" width="99.08984375" bestFit="1" customWidth="1"/>
    <col min="20" max="20" width="8.54296875" customWidth="1"/>
    <col min="21" max="21" width="21" bestFit="1" customWidth="1"/>
    <col min="22" max="22" width="13.453125" bestFit="1" customWidth="1"/>
    <col min="23" max="23" width="8.54296875" customWidth="1"/>
    <col min="24" max="24" width="16.90625" bestFit="1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35</v>
      </c>
      <c r="I1" t="s">
        <v>34</v>
      </c>
    </row>
    <row r="2" spans="1:24" x14ac:dyDescent="0.35">
      <c r="A2">
        <v>1</v>
      </c>
      <c r="B2">
        <v>700</v>
      </c>
      <c r="C2" s="15">
        <v>120.02714747943683</v>
      </c>
      <c r="D2" s="15">
        <v>140.10095368274636</v>
      </c>
      <c r="E2" s="15">
        <v>1.9447056630000001</v>
      </c>
      <c r="F2" s="15">
        <v>1.8913460594999998</v>
      </c>
      <c r="G2" s="15"/>
      <c r="H2" s="16">
        <f>AVERAGE(C2:D2)</f>
        <v>130.06405058109161</v>
      </c>
      <c r="I2" s="16">
        <f>AVERAGE(C2:D2)/1000</f>
        <v>0.13006405058109161</v>
      </c>
      <c r="J2" s="15"/>
    </row>
    <row r="3" spans="1:24" x14ac:dyDescent="0.35">
      <c r="B3">
        <v>800</v>
      </c>
      <c r="C3" s="15">
        <v>113.34274499438432</v>
      </c>
      <c r="D3" s="15">
        <v>134.5299070250326</v>
      </c>
      <c r="E3" s="15">
        <v>1.8848109365000001</v>
      </c>
      <c r="F3" s="15">
        <v>1.801127514</v>
      </c>
      <c r="G3" s="15"/>
      <c r="H3" s="16">
        <f>AVERAGE(C3:D3)</f>
        <v>123.93632600970847</v>
      </c>
      <c r="I3" s="16">
        <f t="shared" ref="I3:I66" si="0">AVERAGE(C3:D3)/1000</f>
        <v>0.12393632600970847</v>
      </c>
      <c r="J3" s="15"/>
      <c r="R3" s="1"/>
      <c r="S3" s="1"/>
      <c r="U3" s="1"/>
      <c r="V3" s="1"/>
      <c r="X3" s="1"/>
    </row>
    <row r="4" spans="1:24" x14ac:dyDescent="0.35">
      <c r="B4">
        <v>900</v>
      </c>
      <c r="C4" s="15">
        <v>105.50716956911947</v>
      </c>
      <c r="D4" s="15">
        <v>125.68952203878322</v>
      </c>
      <c r="E4" s="15">
        <v>1.884697981</v>
      </c>
      <c r="F4" s="15">
        <v>1.7632653579999999</v>
      </c>
      <c r="G4" s="15"/>
      <c r="H4" s="16">
        <f t="shared" ref="H4:H66" si="1">AVERAGE(C4:D4)</f>
        <v>115.59834580395135</v>
      </c>
      <c r="I4" s="16">
        <f>AVERAGE(C4:D4)/1000</f>
        <v>0.11559834580395134</v>
      </c>
      <c r="J4" s="15"/>
      <c r="S4" s="2"/>
    </row>
    <row r="5" spans="1:24" x14ac:dyDescent="0.35">
      <c r="B5">
        <v>1800</v>
      </c>
      <c r="C5" s="15">
        <v>40.798614044284662</v>
      </c>
      <c r="D5" s="15">
        <v>51.914200601420298</v>
      </c>
      <c r="E5" s="15">
        <v>1.659507633</v>
      </c>
      <c r="F5" s="15">
        <v>1.6432728895000002</v>
      </c>
      <c r="G5" s="15"/>
      <c r="H5" s="16">
        <f t="shared" si="1"/>
        <v>46.356407322852476</v>
      </c>
      <c r="I5" s="16">
        <f t="shared" si="0"/>
        <v>4.6356407322852476E-2</v>
      </c>
      <c r="J5" s="15"/>
      <c r="S5" s="2"/>
    </row>
    <row r="6" spans="1:24" x14ac:dyDescent="0.35">
      <c r="B6">
        <v>2100</v>
      </c>
      <c r="C6" s="15">
        <v>32.654105755703725</v>
      </c>
      <c r="D6" s="15">
        <v>40.860291613286137</v>
      </c>
      <c r="E6" s="15">
        <v>1.4779599999999999</v>
      </c>
      <c r="F6" s="15">
        <v>1.53043</v>
      </c>
      <c r="G6" s="15"/>
      <c r="H6" s="16">
        <f t="shared" si="1"/>
        <v>36.757198684494931</v>
      </c>
      <c r="I6" s="16">
        <f t="shared" si="0"/>
        <v>3.6757198684494931E-2</v>
      </c>
      <c r="J6" s="15"/>
      <c r="S6" s="2"/>
    </row>
    <row r="7" spans="1:24" x14ac:dyDescent="0.35">
      <c r="B7">
        <v>2450</v>
      </c>
      <c r="C7" s="15">
        <v>25.060377433744264</v>
      </c>
      <c r="D7" s="15">
        <v>28.395120187324366</v>
      </c>
      <c r="E7" s="15">
        <v>1.34548</v>
      </c>
      <c r="F7" s="15">
        <v>1.4620499999999998</v>
      </c>
      <c r="G7" s="15"/>
      <c r="H7" s="16">
        <f t="shared" si="1"/>
        <v>26.727748810534315</v>
      </c>
      <c r="I7" s="16">
        <f t="shared" si="0"/>
        <v>2.6727748810534316E-2</v>
      </c>
      <c r="J7" s="15"/>
      <c r="S7" s="2"/>
      <c r="X7" s="3"/>
    </row>
    <row r="8" spans="1:24" x14ac:dyDescent="0.35">
      <c r="B8">
        <v>2600</v>
      </c>
      <c r="C8" s="15">
        <v>20.991538447181501</v>
      </c>
      <c r="D8" s="15">
        <v>24.037667952509988</v>
      </c>
      <c r="E8" s="15">
        <v>1.3160800000000001</v>
      </c>
      <c r="F8" s="15">
        <v>1.45719</v>
      </c>
      <c r="G8" s="15"/>
      <c r="H8" s="16">
        <f t="shared" si="1"/>
        <v>22.514603199845745</v>
      </c>
      <c r="I8" s="16">
        <f t="shared" si="0"/>
        <v>2.2514603199845745E-2</v>
      </c>
      <c r="J8" s="15"/>
      <c r="S8" s="2"/>
      <c r="X8" s="3"/>
    </row>
    <row r="9" spans="1:24" x14ac:dyDescent="0.35">
      <c r="B9">
        <v>3500</v>
      </c>
      <c r="C9" s="15">
        <v>4.4715253936124668</v>
      </c>
      <c r="D9" s="15">
        <v>6.606460398193323</v>
      </c>
      <c r="E9" s="15">
        <v>1.5475099999999999</v>
      </c>
      <c r="F9" s="15">
        <v>1.65537</v>
      </c>
      <c r="G9" s="15"/>
      <c r="H9" s="16">
        <f t="shared" si="1"/>
        <v>5.5389928959028953</v>
      </c>
      <c r="I9" s="16">
        <f t="shared" si="0"/>
        <v>5.5389928959028957E-3</v>
      </c>
      <c r="J9" s="15"/>
      <c r="S9" s="2"/>
    </row>
    <row r="10" spans="1:24" x14ac:dyDescent="0.35">
      <c r="B10">
        <v>5000</v>
      </c>
      <c r="C10" s="15">
        <v>0.66651698704292617</v>
      </c>
      <c r="D10" s="15">
        <v>1.4142257222323638</v>
      </c>
      <c r="E10" s="15">
        <v>1.6079700000000001</v>
      </c>
      <c r="F10" s="15">
        <v>1.7170000000000001</v>
      </c>
      <c r="G10" s="15"/>
      <c r="H10" s="16">
        <f t="shared" si="1"/>
        <v>1.040371354637645</v>
      </c>
      <c r="I10" s="16">
        <f t="shared" si="0"/>
        <v>1.040371354637645E-3</v>
      </c>
      <c r="J10" s="15"/>
      <c r="S10" s="2"/>
    </row>
    <row r="11" spans="1:24" x14ac:dyDescent="0.35">
      <c r="C11" s="15"/>
      <c r="D11" s="15"/>
      <c r="E11" s="15"/>
      <c r="F11" s="15"/>
      <c r="G11" s="15"/>
      <c r="H11" s="16" t="e">
        <f t="shared" si="1"/>
        <v>#DIV/0!</v>
      </c>
      <c r="I11" s="16"/>
      <c r="J11" s="15"/>
      <c r="S11" s="2"/>
    </row>
    <row r="12" spans="1:24" x14ac:dyDescent="0.35">
      <c r="A12">
        <v>2</v>
      </c>
      <c r="B12">
        <v>700</v>
      </c>
      <c r="C12" s="15">
        <v>9.8326548199190089</v>
      </c>
      <c r="D12" s="15">
        <v>12.730748814073836</v>
      </c>
      <c r="E12" s="15">
        <v>1.92943</v>
      </c>
      <c r="F12" s="15">
        <v>1.9524699999999999</v>
      </c>
      <c r="G12" s="15"/>
      <c r="H12" s="16">
        <f t="shared" si="1"/>
        <v>11.281701816996422</v>
      </c>
      <c r="I12" s="16">
        <f t="shared" si="0"/>
        <v>1.1281701816996422E-2</v>
      </c>
      <c r="J12" s="15"/>
      <c r="S12" s="2"/>
      <c r="X12" s="3"/>
    </row>
    <row r="13" spans="1:24" x14ac:dyDescent="0.35">
      <c r="B13">
        <v>800</v>
      </c>
      <c r="C13" s="15">
        <v>9.6786846618019577</v>
      </c>
      <c r="D13" s="15">
        <v>14.067886537023274</v>
      </c>
      <c r="E13" s="15">
        <v>1.9167399999999999</v>
      </c>
      <c r="F13" s="15">
        <v>1.94411</v>
      </c>
      <c r="G13" s="15"/>
      <c r="H13" s="16">
        <f t="shared" si="1"/>
        <v>11.873285599412615</v>
      </c>
      <c r="I13" s="16">
        <f t="shared" si="0"/>
        <v>1.1873285599412614E-2</v>
      </c>
      <c r="J13" s="15"/>
      <c r="S13" s="2"/>
      <c r="X13" s="3"/>
    </row>
    <row r="14" spans="1:24" x14ac:dyDescent="0.35">
      <c r="B14">
        <v>900</v>
      </c>
      <c r="C14" s="15">
        <v>8.495728324854749</v>
      </c>
      <c r="D14" s="15">
        <v>14.117564319703037</v>
      </c>
      <c r="E14" s="15">
        <v>1.9042399999999999</v>
      </c>
      <c r="F14" s="15">
        <v>1.92093</v>
      </c>
      <c r="G14" s="15"/>
      <c r="H14" s="16">
        <f t="shared" si="1"/>
        <v>11.306646322278894</v>
      </c>
      <c r="I14" s="16">
        <f t="shared" si="0"/>
        <v>1.1306646322278895E-2</v>
      </c>
      <c r="J14" s="15"/>
    </row>
    <row r="15" spans="1:24" x14ac:dyDescent="0.35">
      <c r="B15">
        <v>1800</v>
      </c>
      <c r="C15" s="15">
        <v>1.8752725304717481</v>
      </c>
      <c r="D15" s="15">
        <v>4.5462712277559554</v>
      </c>
      <c r="E15" s="15">
        <v>1.9612599999999998</v>
      </c>
      <c r="F15" s="15">
        <v>1.9357300000000002</v>
      </c>
      <c r="G15" s="15"/>
      <c r="H15" s="16">
        <f t="shared" si="1"/>
        <v>3.2107718791138518</v>
      </c>
      <c r="I15" s="16">
        <f t="shared" si="0"/>
        <v>3.2107718791138519E-3</v>
      </c>
      <c r="J15" s="15"/>
    </row>
    <row r="16" spans="1:24" x14ac:dyDescent="0.35">
      <c r="B16">
        <v>2100</v>
      </c>
      <c r="C16" s="15">
        <v>1.3752423856576159</v>
      </c>
      <c r="D16" s="15">
        <v>3.2024274264926569</v>
      </c>
      <c r="E16" s="15">
        <v>1.9319899999999999</v>
      </c>
      <c r="F16" s="15">
        <v>1.9152</v>
      </c>
      <c r="G16" s="15"/>
      <c r="H16" s="16">
        <f t="shared" si="1"/>
        <v>2.2888349060751363</v>
      </c>
      <c r="I16" s="16">
        <f t="shared" si="0"/>
        <v>2.2888349060751364E-3</v>
      </c>
      <c r="J16" s="15"/>
    </row>
    <row r="17" spans="1:22" x14ac:dyDescent="0.35">
      <c r="B17">
        <v>2450</v>
      </c>
      <c r="C17" s="15">
        <v>1.0949333085269284</v>
      </c>
      <c r="D17" s="15">
        <v>2.0185089280537936</v>
      </c>
      <c r="E17" s="15">
        <v>1.9422000000000001</v>
      </c>
      <c r="F17" s="15">
        <v>1.9601299999999999</v>
      </c>
      <c r="G17" s="15"/>
      <c r="H17" s="16">
        <f t="shared" si="1"/>
        <v>1.5567211182903611</v>
      </c>
      <c r="I17" s="16">
        <f t="shared" si="0"/>
        <v>1.5567211182903611E-3</v>
      </c>
      <c r="J17" s="15"/>
    </row>
    <row r="18" spans="1:22" x14ac:dyDescent="0.35">
      <c r="B18">
        <v>2600</v>
      </c>
      <c r="C18" s="15">
        <v>1.0132913285293017</v>
      </c>
      <c r="D18" s="15">
        <v>1.8961608190610546</v>
      </c>
      <c r="E18" s="15">
        <v>1.96326</v>
      </c>
      <c r="F18" s="15">
        <v>1.9677200000000001</v>
      </c>
      <c r="G18" s="15"/>
      <c r="H18" s="16">
        <f t="shared" si="1"/>
        <v>1.4547260737951782</v>
      </c>
      <c r="I18" s="16">
        <f t="shared" si="0"/>
        <v>1.4547260737951782E-3</v>
      </c>
      <c r="J18" s="15"/>
    </row>
    <row r="19" spans="1:22" x14ac:dyDescent="0.35">
      <c r="B19">
        <v>3500</v>
      </c>
      <c r="C19" s="15">
        <v>0.75505422880866435</v>
      </c>
      <c r="D19" s="15">
        <v>1.1581697422177311</v>
      </c>
      <c r="E19" s="15">
        <v>2.0005600000000001</v>
      </c>
      <c r="F19" s="15">
        <v>1.9852200000000002</v>
      </c>
      <c r="G19" s="15"/>
      <c r="H19" s="16">
        <f t="shared" si="1"/>
        <v>0.9566119855131977</v>
      </c>
      <c r="I19" s="16">
        <f t="shared" si="0"/>
        <v>9.5661198551319775E-4</v>
      </c>
      <c r="J19" s="15"/>
    </row>
    <row r="20" spans="1:22" x14ac:dyDescent="0.35">
      <c r="B20">
        <v>5000</v>
      </c>
      <c r="C20" s="15">
        <v>0.20940604260622533</v>
      </c>
      <c r="D20" s="15">
        <v>0.45569098649517176</v>
      </c>
      <c r="E20" s="15">
        <v>2.0651600000000001</v>
      </c>
      <c r="F20" s="15">
        <v>2.06568</v>
      </c>
      <c r="G20" s="15"/>
      <c r="H20" s="16">
        <f t="shared" si="1"/>
        <v>0.33254851455069856</v>
      </c>
      <c r="I20" s="16">
        <f t="shared" si="0"/>
        <v>3.3254851455069855E-4</v>
      </c>
      <c r="J20" s="15"/>
    </row>
    <row r="21" spans="1:22" ht="15" thickBot="1" x14ac:dyDescent="0.4">
      <c r="C21" s="15"/>
      <c r="D21" s="15"/>
      <c r="E21" s="15"/>
      <c r="F21" s="15"/>
      <c r="G21" s="15"/>
      <c r="H21" s="16" t="e">
        <f t="shared" si="1"/>
        <v>#DIV/0!</v>
      </c>
      <c r="I21" s="16"/>
      <c r="J21" s="15"/>
    </row>
    <row r="22" spans="1:22" ht="29.5" thickBot="1" x14ac:dyDescent="0.4">
      <c r="A22">
        <v>3</v>
      </c>
      <c r="B22">
        <v>700</v>
      </c>
      <c r="C22" s="15">
        <v>4.8009630557961893</v>
      </c>
      <c r="D22" s="15">
        <v>5.5993011438624816</v>
      </c>
      <c r="E22" s="15">
        <v>1.97695</v>
      </c>
      <c r="F22" s="15">
        <v>1.9578999999999998</v>
      </c>
      <c r="G22" s="15"/>
      <c r="H22" s="16">
        <f t="shared" si="1"/>
        <v>5.2001320998293359</v>
      </c>
      <c r="I22" s="16">
        <f t="shared" si="0"/>
        <v>5.2001320998293363E-3</v>
      </c>
      <c r="J22" s="15"/>
      <c r="R22" s="4" t="s">
        <v>14</v>
      </c>
      <c r="S22" s="5" t="s">
        <v>15</v>
      </c>
      <c r="T22" s="5" t="s">
        <v>0</v>
      </c>
      <c r="U22" s="5" t="s">
        <v>16</v>
      </c>
      <c r="V22" s="6" t="s">
        <v>17</v>
      </c>
    </row>
    <row r="23" spans="1:22" ht="15" thickBot="1" x14ac:dyDescent="0.4">
      <c r="B23">
        <v>800</v>
      </c>
      <c r="C23" s="15">
        <v>5.2703996427978668</v>
      </c>
      <c r="D23" s="15">
        <v>6.71362372107418</v>
      </c>
      <c r="E23" s="15">
        <v>1.99563</v>
      </c>
      <c r="F23" s="15">
        <v>1.9924299999999999</v>
      </c>
      <c r="G23" s="15"/>
      <c r="H23" s="16">
        <f t="shared" si="1"/>
        <v>5.9920116819360238</v>
      </c>
      <c r="I23" s="16">
        <f t="shared" si="0"/>
        <v>5.9920116819360235E-3</v>
      </c>
      <c r="J23" s="15"/>
      <c r="R23" s="7">
        <v>1</v>
      </c>
      <c r="S23" s="8" t="s">
        <v>18</v>
      </c>
      <c r="T23" s="9" t="s">
        <v>6</v>
      </c>
      <c r="U23" s="9" t="s">
        <v>7</v>
      </c>
      <c r="V23" s="9" t="s">
        <v>8</v>
      </c>
    </row>
    <row r="24" spans="1:22" ht="15" thickBot="1" x14ac:dyDescent="0.4">
      <c r="B24">
        <v>900</v>
      </c>
      <c r="C24" s="15">
        <v>5.0553548341273826</v>
      </c>
      <c r="D24" s="15">
        <v>7.2092830198190807</v>
      </c>
      <c r="E24" s="15">
        <v>1.9664600000000001</v>
      </c>
      <c r="F24" s="15">
        <v>1.9817099999999999</v>
      </c>
      <c r="G24" s="15"/>
      <c r="H24" s="16">
        <f t="shared" si="1"/>
        <v>6.1323189269732321</v>
      </c>
      <c r="I24" s="16">
        <f t="shared" si="0"/>
        <v>6.132318926973232E-3</v>
      </c>
      <c r="J24" s="15"/>
      <c r="R24" s="10">
        <v>2</v>
      </c>
      <c r="S24" s="11" t="s">
        <v>19</v>
      </c>
      <c r="T24" s="12" t="s">
        <v>6</v>
      </c>
      <c r="U24" s="12" t="s">
        <v>20</v>
      </c>
      <c r="V24" s="12" t="s">
        <v>8</v>
      </c>
    </row>
    <row r="25" spans="1:22" ht="21.5" thickBot="1" x14ac:dyDescent="0.4">
      <c r="B25">
        <v>1800</v>
      </c>
      <c r="C25" s="15">
        <v>1.3257509977077555</v>
      </c>
      <c r="D25" s="15">
        <v>2.8166809613346437</v>
      </c>
      <c r="E25" s="15">
        <v>1.9430400000000001</v>
      </c>
      <c r="F25" s="15">
        <v>1.91649</v>
      </c>
      <c r="G25" s="15"/>
      <c r="H25" s="16">
        <f t="shared" si="1"/>
        <v>2.0712159795211997</v>
      </c>
      <c r="I25" s="16">
        <f t="shared" si="0"/>
        <v>2.0712159795211998E-3</v>
      </c>
      <c r="J25" s="15"/>
      <c r="R25" s="7">
        <v>3</v>
      </c>
      <c r="S25" s="8" t="s">
        <v>21</v>
      </c>
      <c r="T25" s="9" t="s">
        <v>9</v>
      </c>
      <c r="U25" s="9" t="s">
        <v>20</v>
      </c>
      <c r="V25" s="9" t="s">
        <v>8</v>
      </c>
    </row>
    <row r="26" spans="1:22" x14ac:dyDescent="0.35">
      <c r="B26">
        <v>2100</v>
      </c>
      <c r="C26" s="15">
        <v>1.0219981748399993</v>
      </c>
      <c r="D26" s="15">
        <v>2.0238930304134777</v>
      </c>
      <c r="E26" s="15">
        <v>1.9513799999999999</v>
      </c>
      <c r="F26" s="15">
        <v>1.97563</v>
      </c>
      <c r="G26" s="15"/>
      <c r="H26" s="16">
        <f t="shared" si="1"/>
        <v>1.5229456026267385</v>
      </c>
      <c r="I26" s="16">
        <f t="shared" si="0"/>
        <v>1.5229456026267386E-3</v>
      </c>
      <c r="J26" s="15"/>
      <c r="R26" s="17">
        <v>4</v>
      </c>
      <c r="S26" s="13" t="s">
        <v>22</v>
      </c>
      <c r="T26" s="19" t="s">
        <v>6</v>
      </c>
      <c r="U26" s="21" t="s">
        <v>24</v>
      </c>
      <c r="V26" s="23" t="s">
        <v>8</v>
      </c>
    </row>
    <row r="27" spans="1:22" ht="15" thickBot="1" x14ac:dyDescent="0.4">
      <c r="B27">
        <v>2450</v>
      </c>
      <c r="C27" s="15">
        <v>0.9188897911493823</v>
      </c>
      <c r="D27" s="15">
        <v>1.3200365185171594</v>
      </c>
      <c r="E27" s="15">
        <v>1.9607600000000003</v>
      </c>
      <c r="F27" s="15">
        <v>1.97942</v>
      </c>
      <c r="G27" s="15"/>
      <c r="H27" s="16">
        <f t="shared" si="1"/>
        <v>1.1194631548332707</v>
      </c>
      <c r="I27" s="16">
        <f t="shared" si="0"/>
        <v>1.1194631548332708E-3</v>
      </c>
      <c r="J27" s="15"/>
      <c r="R27" s="18"/>
      <c r="S27" s="11" t="s">
        <v>23</v>
      </c>
      <c r="T27" s="20"/>
      <c r="U27" s="22"/>
      <c r="V27" s="24"/>
    </row>
    <row r="28" spans="1:22" ht="21.5" thickBot="1" x14ac:dyDescent="0.4">
      <c r="B28">
        <v>2600</v>
      </c>
      <c r="C28" s="15">
        <v>0.82302993533806812</v>
      </c>
      <c r="D28" s="15">
        <v>1.3068469222195598</v>
      </c>
      <c r="E28" s="15">
        <v>1.9742599999999999</v>
      </c>
      <c r="F28" s="15">
        <v>1.9681199999999999</v>
      </c>
      <c r="G28" s="15"/>
      <c r="H28" s="16">
        <f t="shared" si="1"/>
        <v>1.064938428778814</v>
      </c>
      <c r="I28" s="16">
        <f t="shared" si="0"/>
        <v>1.064938428778814E-3</v>
      </c>
      <c r="J28" s="15"/>
      <c r="R28" s="7">
        <v>5</v>
      </c>
      <c r="S28" s="8" t="s">
        <v>25</v>
      </c>
      <c r="T28" s="9" t="s">
        <v>26</v>
      </c>
      <c r="U28" s="8" t="s">
        <v>10</v>
      </c>
      <c r="V28" s="9" t="s">
        <v>8</v>
      </c>
    </row>
    <row r="29" spans="1:22" ht="21.5" thickBot="1" x14ac:dyDescent="0.4">
      <c r="B29">
        <v>3500</v>
      </c>
      <c r="C29" s="15">
        <v>0.5165780322303053</v>
      </c>
      <c r="D29" s="15">
        <v>0.82641334929596511</v>
      </c>
      <c r="E29" s="15">
        <v>2.0108000000000001</v>
      </c>
      <c r="F29" s="15">
        <v>2.0005999999999999</v>
      </c>
      <c r="G29" s="15"/>
      <c r="H29" s="16">
        <f t="shared" si="1"/>
        <v>0.6714956907631352</v>
      </c>
      <c r="I29" s="16">
        <f t="shared" si="0"/>
        <v>6.714956907631352E-4</v>
      </c>
      <c r="J29" s="15"/>
      <c r="R29" s="10">
        <v>6</v>
      </c>
      <c r="S29" s="11" t="s">
        <v>27</v>
      </c>
      <c r="T29" s="12" t="s">
        <v>26</v>
      </c>
      <c r="U29" s="12" t="s">
        <v>12</v>
      </c>
      <c r="V29" s="12" t="s">
        <v>8</v>
      </c>
    </row>
    <row r="30" spans="1:22" x14ac:dyDescent="0.35">
      <c r="B30">
        <v>5000</v>
      </c>
      <c r="C30" s="15">
        <v>0.1820261693392268</v>
      </c>
      <c r="D30" s="15">
        <v>0.4581170722315755</v>
      </c>
      <c r="E30" s="15">
        <v>2.07782</v>
      </c>
      <c r="F30" s="15">
        <v>2.07843</v>
      </c>
      <c r="G30" s="15"/>
      <c r="H30" s="16">
        <f t="shared" si="1"/>
        <v>0.32007162078540113</v>
      </c>
      <c r="I30" s="16">
        <f t="shared" si="0"/>
        <v>3.2007162078540112E-4</v>
      </c>
      <c r="J30" s="15"/>
      <c r="R30" s="25">
        <v>7</v>
      </c>
      <c r="S30" s="14" t="s">
        <v>28</v>
      </c>
      <c r="T30" s="27" t="s">
        <v>30</v>
      </c>
      <c r="U30" s="29"/>
      <c r="V30" s="31" t="s">
        <v>11</v>
      </c>
    </row>
    <row r="31" spans="1:22" ht="15" thickBot="1" x14ac:dyDescent="0.4">
      <c r="C31" s="15"/>
      <c r="D31" s="15"/>
      <c r="E31" s="15"/>
      <c r="F31" s="15"/>
      <c r="G31" s="15"/>
      <c r="H31" s="16" t="e">
        <f t="shared" si="1"/>
        <v>#DIV/0!</v>
      </c>
      <c r="I31" s="16"/>
      <c r="J31" s="15"/>
      <c r="R31" s="26"/>
      <c r="S31" s="8" t="s">
        <v>29</v>
      </c>
      <c r="T31" s="28"/>
      <c r="U31" s="30"/>
      <c r="V31" s="32"/>
    </row>
    <row r="32" spans="1:22" x14ac:dyDescent="0.35">
      <c r="A32">
        <v>4</v>
      </c>
      <c r="B32">
        <v>700</v>
      </c>
      <c r="C32" s="15">
        <v>1.3567113627880274E-2</v>
      </c>
      <c r="D32" s="15">
        <v>2.1257436552960036E-2</v>
      </c>
      <c r="E32" s="15">
        <v>1.86853</v>
      </c>
      <c r="F32" s="15">
        <v>1.6094600000000001</v>
      </c>
      <c r="G32" s="15"/>
      <c r="H32" s="16">
        <f t="shared" si="1"/>
        <v>1.7412275090420155E-2</v>
      </c>
      <c r="I32" s="16">
        <f t="shared" si="0"/>
        <v>1.7412275090420155E-5</v>
      </c>
      <c r="J32" s="15"/>
      <c r="R32" s="17">
        <v>8</v>
      </c>
      <c r="S32" s="13" t="s">
        <v>31</v>
      </c>
      <c r="T32" s="21" t="s">
        <v>30</v>
      </c>
      <c r="U32" s="33"/>
      <c r="V32" s="19" t="s">
        <v>11</v>
      </c>
    </row>
    <row r="33" spans="1:22" ht="15" thickBot="1" x14ac:dyDescent="0.4">
      <c r="B33">
        <v>800</v>
      </c>
      <c r="C33" s="15">
        <v>8.3064809428079096E-3</v>
      </c>
      <c r="D33" s="15">
        <v>1.2050957440528405E-2</v>
      </c>
      <c r="E33" s="15">
        <v>1.9037299999999999</v>
      </c>
      <c r="F33" s="15">
        <v>1.6767100000000001</v>
      </c>
      <c r="G33" s="15"/>
      <c r="H33" s="16">
        <f t="shared" si="1"/>
        <v>1.0178719191668156E-2</v>
      </c>
      <c r="I33" s="16">
        <f t="shared" si="0"/>
        <v>1.0178719191668157E-5</v>
      </c>
      <c r="J33" s="15"/>
      <c r="R33" s="18"/>
      <c r="S33" s="11" t="s">
        <v>29</v>
      </c>
      <c r="T33" s="22"/>
      <c r="U33" s="34"/>
      <c r="V33" s="20"/>
    </row>
    <row r="34" spans="1:22" x14ac:dyDescent="0.35">
      <c r="B34">
        <v>900</v>
      </c>
      <c r="C34" s="15">
        <v>5.5580709459612703E-3</v>
      </c>
      <c r="D34" s="15">
        <v>7.2966162982103016E-3</v>
      </c>
      <c r="E34" s="15">
        <v>1.9159900000000001</v>
      </c>
      <c r="F34" s="15">
        <v>1.7176899999999999</v>
      </c>
      <c r="G34" s="15"/>
      <c r="H34" s="16">
        <f t="shared" si="1"/>
        <v>6.427343622085786E-3</v>
      </c>
      <c r="I34" s="16">
        <f t="shared" si="0"/>
        <v>6.4273436220857861E-6</v>
      </c>
      <c r="J34" s="15"/>
      <c r="R34" s="25">
        <v>9</v>
      </c>
      <c r="S34" s="14" t="s">
        <v>32</v>
      </c>
      <c r="T34" s="31" t="s">
        <v>33</v>
      </c>
      <c r="U34" s="31" t="s">
        <v>13</v>
      </c>
      <c r="V34" s="31">
        <v>2450</v>
      </c>
    </row>
    <row r="35" spans="1:22" ht="15" thickBot="1" x14ac:dyDescent="0.4">
      <c r="B35">
        <v>1800</v>
      </c>
      <c r="C35" s="15">
        <v>7.134892704169887E-4</v>
      </c>
      <c r="D35" s="15">
        <v>1.0217109073390256E-3</v>
      </c>
      <c r="E35" s="15">
        <v>1.7458400000000001</v>
      </c>
      <c r="F35" s="15">
        <v>1.8017599999999998</v>
      </c>
      <c r="G35" s="15"/>
      <c r="H35" s="16">
        <f t="shared" si="1"/>
        <v>8.6760008887800722E-4</v>
      </c>
      <c r="I35" s="16">
        <f t="shared" si="0"/>
        <v>8.6760008887800721E-7</v>
      </c>
      <c r="J35" s="15"/>
      <c r="R35" s="26"/>
      <c r="S35" s="8" t="s">
        <v>29</v>
      </c>
      <c r="T35" s="32"/>
      <c r="U35" s="32"/>
      <c r="V35" s="32"/>
    </row>
    <row r="36" spans="1:22" x14ac:dyDescent="0.35">
      <c r="B36">
        <v>2100</v>
      </c>
      <c r="C36" s="15">
        <v>3.7666659841212178E-4</v>
      </c>
      <c r="D36" s="15">
        <v>9.6228094428404173E-4</v>
      </c>
      <c r="E36" s="15">
        <v>1.7260800000000001</v>
      </c>
      <c r="F36" s="15">
        <v>1.79514</v>
      </c>
      <c r="G36" s="15"/>
      <c r="H36" s="16">
        <f t="shared" si="1"/>
        <v>6.6947377134808173E-4</v>
      </c>
      <c r="I36" s="16">
        <f t="shared" si="0"/>
        <v>6.6947377134808178E-7</v>
      </c>
      <c r="J36" s="15"/>
    </row>
    <row r="37" spans="1:22" x14ac:dyDescent="0.35">
      <c r="B37">
        <v>2450</v>
      </c>
      <c r="C37" s="15">
        <v>1.8534014881720106E-4</v>
      </c>
      <c r="D37" s="15">
        <v>4.7001882330268612E-4</v>
      </c>
      <c r="E37" s="15">
        <v>1.72017</v>
      </c>
      <c r="F37" s="15">
        <v>1.7538099999999999</v>
      </c>
      <c r="G37" s="15"/>
      <c r="H37" s="16">
        <f t="shared" si="1"/>
        <v>3.2767948605994359E-4</v>
      </c>
      <c r="I37" s="16">
        <f t="shared" si="0"/>
        <v>3.2767948605994359E-7</v>
      </c>
      <c r="J37" s="15"/>
    </row>
    <row r="38" spans="1:22" x14ac:dyDescent="0.35">
      <c r="B38">
        <v>2600</v>
      </c>
      <c r="C38" s="15">
        <v>1.9450357818087292E-4</v>
      </c>
      <c r="D38" s="15">
        <v>4.5634171445367431E-4</v>
      </c>
      <c r="E38" s="15">
        <v>1.72536</v>
      </c>
      <c r="F38" s="15">
        <v>1.7402500000000001</v>
      </c>
      <c r="G38" s="15"/>
      <c r="H38" s="16">
        <f t="shared" si="1"/>
        <v>3.2542264631727359E-4</v>
      </c>
      <c r="I38" s="16">
        <f t="shared" si="0"/>
        <v>3.2542264631727358E-7</v>
      </c>
      <c r="J38" s="15"/>
    </row>
    <row r="39" spans="1:22" x14ac:dyDescent="0.35">
      <c r="B39">
        <v>3500</v>
      </c>
      <c r="C39" s="15">
        <v>7.4799243513644592E-5</v>
      </c>
      <c r="D39" s="15">
        <v>3.8765359564772289E-4</v>
      </c>
      <c r="E39" s="15">
        <v>1.74573</v>
      </c>
      <c r="F39" s="15">
        <v>1.7654799999999999</v>
      </c>
      <c r="G39" s="15"/>
      <c r="H39" s="16">
        <f t="shared" si="1"/>
        <v>2.3122641958068374E-4</v>
      </c>
      <c r="I39" s="16">
        <f t="shared" si="0"/>
        <v>2.3122641958068375E-7</v>
      </c>
      <c r="J39" s="15"/>
    </row>
    <row r="40" spans="1:22" x14ac:dyDescent="0.35">
      <c r="B40">
        <v>5000</v>
      </c>
      <c r="C40" s="15">
        <v>2.6452106718641601E-8</v>
      </c>
      <c r="D40" s="15">
        <v>9.5542271240937537E-10</v>
      </c>
      <c r="E40" s="15">
        <v>1.82151</v>
      </c>
      <c r="F40" s="15">
        <v>2.0176399999999997</v>
      </c>
      <c r="G40" s="15"/>
      <c r="H40" s="16">
        <f t="shared" si="1"/>
        <v>1.3703764715525488E-8</v>
      </c>
      <c r="I40" s="16">
        <f t="shared" si="0"/>
        <v>1.3703764715525487E-11</v>
      </c>
      <c r="J40" s="15"/>
    </row>
    <row r="41" spans="1:22" x14ac:dyDescent="0.35">
      <c r="C41" s="15"/>
      <c r="D41" s="15"/>
      <c r="E41" s="15"/>
      <c r="F41" s="15"/>
      <c r="G41" s="15"/>
      <c r="H41" s="16" t="e">
        <f t="shared" si="1"/>
        <v>#DIV/0!</v>
      </c>
      <c r="I41" s="16"/>
      <c r="J41" s="15"/>
    </row>
    <row r="42" spans="1:22" x14ac:dyDescent="0.35">
      <c r="A42">
        <v>5</v>
      </c>
      <c r="B42">
        <v>700</v>
      </c>
      <c r="C42" s="15">
        <v>9.0338863282912713E-2</v>
      </c>
      <c r="D42" s="15">
        <v>7.2290832798529561E-2</v>
      </c>
      <c r="E42" s="15">
        <v>1.55037</v>
      </c>
      <c r="F42" s="15">
        <v>1.7229700000000001</v>
      </c>
      <c r="G42" s="15"/>
      <c r="H42" s="16">
        <f t="shared" si="1"/>
        <v>8.1314848040721144E-2</v>
      </c>
      <c r="I42" s="16">
        <f t="shared" si="0"/>
        <v>8.1314848040721144E-5</v>
      </c>
      <c r="J42" s="15"/>
    </row>
    <row r="43" spans="1:22" x14ac:dyDescent="0.35">
      <c r="B43">
        <v>800</v>
      </c>
      <c r="C43" s="15">
        <v>8.1407332326480703E-2</v>
      </c>
      <c r="D43" s="15">
        <v>7.2842057769508986E-2</v>
      </c>
      <c r="E43" s="15">
        <v>1.4437499999999999</v>
      </c>
      <c r="F43" s="15">
        <v>1.72007</v>
      </c>
      <c r="G43" s="15"/>
      <c r="H43" s="16">
        <f t="shared" si="1"/>
        <v>7.7124695047994851E-2</v>
      </c>
      <c r="I43" s="16">
        <f t="shared" si="0"/>
        <v>7.7124695047994855E-5</v>
      </c>
      <c r="J43" s="15"/>
    </row>
    <row r="44" spans="1:22" x14ac:dyDescent="0.35">
      <c r="B44">
        <v>900</v>
      </c>
      <c r="C44" s="15">
        <v>7.2178914107994999E-2</v>
      </c>
      <c r="D44" s="15">
        <v>7.0222990526091031E-2</v>
      </c>
      <c r="E44" s="15">
        <v>1.4654199999999999</v>
      </c>
      <c r="F44" s="15">
        <v>1.7721799999999999</v>
      </c>
      <c r="G44" s="15"/>
      <c r="H44" s="16">
        <f t="shared" si="1"/>
        <v>7.1200952317043015E-2</v>
      </c>
      <c r="I44" s="16">
        <f t="shared" si="0"/>
        <v>7.1200952317043009E-5</v>
      </c>
      <c r="J44" s="15"/>
    </row>
    <row r="45" spans="1:22" x14ac:dyDescent="0.35">
      <c r="B45">
        <v>1800</v>
      </c>
      <c r="C45" s="15">
        <v>9.7799813716557375E-3</v>
      </c>
      <c r="D45" s="15">
        <v>7.4281924236841462E-2</v>
      </c>
      <c r="E45" s="15">
        <v>1.8927099999999999</v>
      </c>
      <c r="F45" s="15">
        <v>1.7396499999999999</v>
      </c>
      <c r="G45" s="15"/>
      <c r="H45" s="16">
        <f t="shared" si="1"/>
        <v>4.2030952804248602E-2</v>
      </c>
      <c r="I45" s="16">
        <f t="shared" si="0"/>
        <v>4.2030952804248602E-5</v>
      </c>
      <c r="J45" s="15"/>
    </row>
    <row r="46" spans="1:22" x14ac:dyDescent="0.35">
      <c r="B46">
        <v>2100</v>
      </c>
      <c r="C46" s="15">
        <v>7.4260747620264241E-3</v>
      </c>
      <c r="D46" s="15">
        <v>6.5421996710433708E-2</v>
      </c>
      <c r="E46" s="15">
        <v>2.04399</v>
      </c>
      <c r="F46" s="15">
        <v>2.0341500000000003</v>
      </c>
      <c r="G46" s="15"/>
      <c r="H46" s="16">
        <f t="shared" si="1"/>
        <v>3.6424035736230063E-2</v>
      </c>
      <c r="I46" s="16">
        <f t="shared" si="0"/>
        <v>3.6424035736230065E-5</v>
      </c>
      <c r="J46" s="15"/>
    </row>
    <row r="47" spans="1:22" x14ac:dyDescent="0.35">
      <c r="B47">
        <v>2450</v>
      </c>
      <c r="C47" s="15">
        <v>7.9389822386164884E-3</v>
      </c>
      <c r="D47" s="15">
        <v>6.0701705600471771E-2</v>
      </c>
      <c r="E47" s="15">
        <v>2.10561</v>
      </c>
      <c r="F47" s="15">
        <v>2.11978</v>
      </c>
      <c r="G47" s="15"/>
      <c r="H47" s="16">
        <f t="shared" si="1"/>
        <v>3.4320343919544131E-2</v>
      </c>
      <c r="I47" s="16">
        <f t="shared" si="0"/>
        <v>3.4320343919544133E-5</v>
      </c>
      <c r="J47" s="15"/>
    </row>
    <row r="48" spans="1:22" x14ac:dyDescent="0.35">
      <c r="B48">
        <v>2600</v>
      </c>
      <c r="C48" s="15">
        <v>7.6782555769710362E-3</v>
      </c>
      <c r="D48" s="15">
        <v>4.4899350737016966E-2</v>
      </c>
      <c r="E48" s="15">
        <v>2.1005099999999999</v>
      </c>
      <c r="F48" s="15">
        <v>2.12479</v>
      </c>
      <c r="G48" s="15"/>
      <c r="H48" s="16">
        <f t="shared" si="1"/>
        <v>2.6288803156994001E-2</v>
      </c>
      <c r="I48" s="16">
        <f t="shared" si="0"/>
        <v>2.6288803156994002E-5</v>
      </c>
      <c r="J48" s="15"/>
    </row>
    <row r="49" spans="1:10" x14ac:dyDescent="0.35">
      <c r="B49">
        <v>3500</v>
      </c>
      <c r="C49" s="15">
        <v>2.0912475765011915E-3</v>
      </c>
      <c r="D49" s="15">
        <v>7.1626173599210587E-3</v>
      </c>
      <c r="E49" s="15">
        <v>1.9553700000000001</v>
      </c>
      <c r="F49" s="15">
        <v>1.9780499999999999</v>
      </c>
      <c r="G49" s="15"/>
      <c r="H49" s="16">
        <f t="shared" si="1"/>
        <v>4.6269324682111247E-3</v>
      </c>
      <c r="I49" s="16">
        <f t="shared" si="0"/>
        <v>4.6269324682111248E-6</v>
      </c>
      <c r="J49" s="15"/>
    </row>
    <row r="50" spans="1:10" x14ac:dyDescent="0.35">
      <c r="B50">
        <v>5000</v>
      </c>
      <c r="C50" s="15">
        <v>1.3873105081503602E-5</v>
      </c>
      <c r="D50" s="15">
        <v>4.4634703695646165E-3</v>
      </c>
      <c r="E50" s="15">
        <v>2.1555900000000001</v>
      </c>
      <c r="F50" s="15">
        <v>2.14967</v>
      </c>
      <c r="G50" s="15"/>
      <c r="H50" s="16">
        <f t="shared" si="1"/>
        <v>2.23867173732306E-3</v>
      </c>
      <c r="I50" s="16">
        <f t="shared" si="0"/>
        <v>2.2386717373230602E-6</v>
      </c>
      <c r="J50" s="15"/>
    </row>
    <row r="51" spans="1:10" x14ac:dyDescent="0.35">
      <c r="C51" s="15"/>
      <c r="D51" s="15"/>
      <c r="E51" s="15"/>
      <c r="F51" s="15"/>
      <c r="G51" s="15"/>
      <c r="H51" s="16" t="e">
        <f t="shared" si="1"/>
        <v>#DIV/0!</v>
      </c>
      <c r="I51" s="16"/>
      <c r="J51" s="15"/>
    </row>
    <row r="52" spans="1:10" x14ac:dyDescent="0.35">
      <c r="A52">
        <v>6</v>
      </c>
      <c r="B52">
        <v>700</v>
      </c>
      <c r="C52" s="15">
        <v>0.26461586236235696</v>
      </c>
      <c r="D52" s="15">
        <v>0.47927111233565617</v>
      </c>
      <c r="E52" s="15">
        <v>1.92892</v>
      </c>
      <c r="F52" s="15">
        <v>1.9607000000000001</v>
      </c>
      <c r="G52" s="15"/>
      <c r="H52" s="16">
        <f t="shared" si="1"/>
        <v>0.37194348734900656</v>
      </c>
      <c r="I52" s="16">
        <f t="shared" si="0"/>
        <v>3.7194348734900654E-4</v>
      </c>
      <c r="J52" s="15"/>
    </row>
    <row r="53" spans="1:10" x14ac:dyDescent="0.35">
      <c r="B53">
        <v>800</v>
      </c>
      <c r="C53" s="15">
        <v>0.19275126135393517</v>
      </c>
      <c r="D53" s="15">
        <v>0.33825394874731685</v>
      </c>
      <c r="E53" s="15">
        <v>1.9272499999999999</v>
      </c>
      <c r="F53" s="15">
        <v>1.93089</v>
      </c>
      <c r="G53" s="15"/>
      <c r="H53" s="16">
        <f t="shared" si="1"/>
        <v>0.26550260505062601</v>
      </c>
      <c r="I53" s="16">
        <f t="shared" si="0"/>
        <v>2.6550260505062601E-4</v>
      </c>
      <c r="J53" s="15"/>
    </row>
    <row r="54" spans="1:10" x14ac:dyDescent="0.35">
      <c r="B54">
        <v>900</v>
      </c>
      <c r="C54" s="15">
        <v>0.14785928478094995</v>
      </c>
      <c r="D54" s="15">
        <v>0.32779810585447466</v>
      </c>
      <c r="E54" s="15">
        <v>1.9308800000000002</v>
      </c>
      <c r="F54" s="15">
        <v>1.9917300000000002</v>
      </c>
      <c r="G54" s="15"/>
      <c r="H54" s="16">
        <f t="shared" si="1"/>
        <v>0.23782869531771231</v>
      </c>
      <c r="I54" s="16">
        <f t="shared" si="0"/>
        <v>2.378286953177123E-4</v>
      </c>
      <c r="J54" s="15"/>
    </row>
    <row r="55" spans="1:10" x14ac:dyDescent="0.35">
      <c r="B55">
        <v>1800</v>
      </c>
      <c r="C55" s="15">
        <v>3.1194153723930803E-2</v>
      </c>
      <c r="D55" s="15">
        <v>6.1739211266019722E-2</v>
      </c>
      <c r="E55" s="15">
        <v>1.9507000000000001</v>
      </c>
      <c r="F55" s="15">
        <v>1.9687900000000003</v>
      </c>
      <c r="G55" s="15"/>
      <c r="H55" s="16">
        <f t="shared" si="1"/>
        <v>4.6466682494975264E-2</v>
      </c>
      <c r="I55" s="16">
        <f t="shared" si="0"/>
        <v>4.6466682494975267E-5</v>
      </c>
      <c r="J55" s="15"/>
    </row>
    <row r="56" spans="1:10" x14ac:dyDescent="0.35">
      <c r="B56">
        <v>2100</v>
      </c>
      <c r="C56" s="15">
        <v>2.8818920583630413E-2</v>
      </c>
      <c r="D56" s="15">
        <v>7.5047878936577009E-2</v>
      </c>
      <c r="E56" s="15">
        <v>1.9379200000000001</v>
      </c>
      <c r="F56" s="15">
        <v>1.92927</v>
      </c>
      <c r="G56" s="15"/>
      <c r="H56" s="16">
        <f t="shared" si="1"/>
        <v>5.1933399760103707E-2</v>
      </c>
      <c r="I56" s="16">
        <f t="shared" si="0"/>
        <v>5.1933399760103708E-5</v>
      </c>
      <c r="J56" s="15"/>
    </row>
    <row r="57" spans="1:10" x14ac:dyDescent="0.35">
      <c r="B57">
        <v>2450</v>
      </c>
      <c r="C57" s="15">
        <v>2.259092206383281E-2</v>
      </c>
      <c r="D57" s="15">
        <v>5.5687940573728729E-2</v>
      </c>
      <c r="E57" s="15">
        <v>1.94031</v>
      </c>
      <c r="F57" s="15">
        <v>1.9119899999999999</v>
      </c>
      <c r="G57" s="15"/>
      <c r="H57" s="16">
        <f t="shared" si="1"/>
        <v>3.9139431318780768E-2</v>
      </c>
      <c r="I57" s="16">
        <f t="shared" si="0"/>
        <v>3.9139431318780767E-5</v>
      </c>
      <c r="J57" s="15"/>
    </row>
    <row r="58" spans="1:10" x14ac:dyDescent="0.35">
      <c r="B58">
        <v>2600</v>
      </c>
      <c r="C58" s="15">
        <v>2.3605719785539492E-2</v>
      </c>
      <c r="D58" s="15">
        <v>3.5007946351773296E-2</v>
      </c>
      <c r="E58" s="15">
        <v>1.98885</v>
      </c>
      <c r="F58" s="15">
        <v>1.9999200000000001</v>
      </c>
      <c r="G58" s="15"/>
      <c r="H58" s="16">
        <f t="shared" si="1"/>
        <v>2.9306833068656394E-2</v>
      </c>
      <c r="I58" s="16">
        <f t="shared" si="0"/>
        <v>2.9306833068656393E-5</v>
      </c>
      <c r="J58" s="15"/>
    </row>
    <row r="59" spans="1:10" x14ac:dyDescent="0.35">
      <c r="B59">
        <v>3500</v>
      </c>
      <c r="C59" s="15">
        <v>8.4425932871098237E-3</v>
      </c>
      <c r="D59" s="15">
        <v>3.7110270231754429E-2</v>
      </c>
      <c r="E59" s="15">
        <v>1.99875</v>
      </c>
      <c r="F59" s="15">
        <v>2.01999</v>
      </c>
      <c r="G59" s="15"/>
      <c r="H59" s="16">
        <f t="shared" si="1"/>
        <v>2.2776431759432128E-2</v>
      </c>
      <c r="I59" s="16">
        <f t="shared" si="0"/>
        <v>2.2776431759432128E-5</v>
      </c>
      <c r="J59" s="15"/>
    </row>
    <row r="60" spans="1:10" x14ac:dyDescent="0.35">
      <c r="B60">
        <v>5000</v>
      </c>
      <c r="C60" s="15">
        <v>3.8230995639945626E-9</v>
      </c>
      <c r="D60" s="15">
        <v>1.8422166267423636E-2</v>
      </c>
      <c r="E60" s="15">
        <v>2.0871499999999998</v>
      </c>
      <c r="F60" s="15">
        <v>2.08222</v>
      </c>
      <c r="G60" s="15"/>
      <c r="H60" s="16">
        <f t="shared" si="1"/>
        <v>9.2110850452615991E-3</v>
      </c>
      <c r="I60" s="16">
        <f t="shared" si="0"/>
        <v>9.2110850452615998E-6</v>
      </c>
      <c r="J60" s="15"/>
    </row>
    <row r="61" spans="1:10" x14ac:dyDescent="0.35">
      <c r="C61" s="15"/>
      <c r="D61" s="15"/>
      <c r="E61" s="15"/>
      <c r="F61" s="15"/>
      <c r="G61" s="15"/>
      <c r="H61" s="16" t="e">
        <f t="shared" si="1"/>
        <v>#DIV/0!</v>
      </c>
      <c r="I61" s="16"/>
      <c r="J61" s="15"/>
    </row>
    <row r="62" spans="1:10" x14ac:dyDescent="0.35">
      <c r="A62">
        <v>7</v>
      </c>
      <c r="B62">
        <v>2450</v>
      </c>
      <c r="C62" s="15">
        <v>19.235010304667806</v>
      </c>
      <c r="D62" s="15">
        <v>23.702399463160777</v>
      </c>
      <c r="E62" s="15">
        <v>0.68722300000000003</v>
      </c>
      <c r="F62" s="15">
        <v>1.5784400000000001</v>
      </c>
      <c r="G62" s="15"/>
      <c r="H62" s="16">
        <f t="shared" si="1"/>
        <v>21.468704883914292</v>
      </c>
      <c r="I62" s="16">
        <f t="shared" si="0"/>
        <v>2.1468704883914291E-2</v>
      </c>
      <c r="J62" s="15">
        <f>AVERAGE(I62,I65)</f>
        <v>2.0049280171110295E-2</v>
      </c>
    </row>
    <row r="63" spans="1:10" x14ac:dyDescent="0.35">
      <c r="B63">
        <v>5000</v>
      </c>
      <c r="C63" s="15">
        <v>0.71784944806351814</v>
      </c>
      <c r="D63" s="15">
        <v>1.4621305457283897</v>
      </c>
      <c r="E63" s="15">
        <v>1.8853</v>
      </c>
      <c r="F63" s="15">
        <v>1.7088400000000001</v>
      </c>
      <c r="G63" s="15"/>
      <c r="H63" s="16">
        <f t="shared" si="1"/>
        <v>1.0899899968959539</v>
      </c>
      <c r="I63" s="16">
        <f t="shared" si="0"/>
        <v>1.0899899968959538E-3</v>
      </c>
      <c r="J63" s="15"/>
    </row>
    <row r="64" spans="1:10" x14ac:dyDescent="0.35">
      <c r="C64" s="15"/>
      <c r="D64" s="15"/>
      <c r="E64" s="15"/>
      <c r="F64" s="15"/>
      <c r="G64" s="15"/>
      <c r="H64" s="16" t="e">
        <f t="shared" si="1"/>
        <v>#DIV/0!</v>
      </c>
      <c r="I64" s="16"/>
      <c r="J64" s="15"/>
    </row>
    <row r="65" spans="1:10" x14ac:dyDescent="0.35">
      <c r="A65">
        <v>8</v>
      </c>
      <c r="B65">
        <v>2450</v>
      </c>
      <c r="C65" s="15">
        <v>10.721199301464329</v>
      </c>
      <c r="D65" s="15">
        <v>26.538511615148273</v>
      </c>
      <c r="E65" s="15">
        <v>0.71578600000000003</v>
      </c>
      <c r="F65" s="15">
        <v>1.82077</v>
      </c>
      <c r="G65" s="15"/>
      <c r="H65" s="16">
        <f t="shared" si="1"/>
        <v>18.629855458306302</v>
      </c>
      <c r="I65" s="16">
        <f t="shared" si="0"/>
        <v>1.8629855458306303E-2</v>
      </c>
      <c r="J65" s="15"/>
    </row>
    <row r="66" spans="1:10" x14ac:dyDescent="0.35">
      <c r="B66">
        <v>5000</v>
      </c>
      <c r="C66" s="15">
        <v>0.51560432972177839</v>
      </c>
      <c r="D66" s="15">
        <v>1.4165229175898593</v>
      </c>
      <c r="E66" s="15">
        <v>1.91744</v>
      </c>
      <c r="F66" s="15">
        <v>1.57263</v>
      </c>
      <c r="G66" s="15"/>
      <c r="H66" s="16">
        <f t="shared" si="1"/>
        <v>0.96606362365581888</v>
      </c>
      <c r="I66" s="16">
        <f t="shared" si="0"/>
        <v>9.6606362365581891E-4</v>
      </c>
      <c r="J66" s="15"/>
    </row>
    <row r="67" spans="1:10" x14ac:dyDescent="0.35">
      <c r="C67" s="15"/>
      <c r="D67" s="15"/>
      <c r="E67" s="15"/>
      <c r="F67" s="15"/>
      <c r="G67" s="15"/>
      <c r="H67" s="16" t="e">
        <f t="shared" ref="H67:H68" si="2">AVERAGE(C67:D67)</f>
        <v>#DIV/0!</v>
      </c>
      <c r="I67" s="16"/>
      <c r="J67" s="15"/>
    </row>
    <row r="68" spans="1:10" x14ac:dyDescent="0.35">
      <c r="A68">
        <v>9</v>
      </c>
      <c r="B68">
        <v>2450</v>
      </c>
      <c r="C68" s="15">
        <v>1.749394269882304E-2</v>
      </c>
      <c r="D68" s="15">
        <v>2.9692373477633417E-2</v>
      </c>
      <c r="E68" s="15">
        <v>2.1601300000000001</v>
      </c>
      <c r="F68" s="15">
        <v>2.0204300000000002</v>
      </c>
      <c r="G68" s="15"/>
      <c r="H68" s="16">
        <f t="shared" si="2"/>
        <v>2.3593158088228226E-2</v>
      </c>
      <c r="I68" s="16">
        <f t="shared" ref="I68" si="3">AVERAGE(C68:D68)/1000</f>
        <v>2.3593158088228227E-5</v>
      </c>
      <c r="J68" s="15"/>
    </row>
  </sheetData>
  <mergeCells count="16">
    <mergeCell ref="R32:R33"/>
    <mergeCell ref="T32:T33"/>
    <mergeCell ref="U32:U33"/>
    <mergeCell ref="V32:V33"/>
    <mergeCell ref="R34:R35"/>
    <mergeCell ref="T34:T35"/>
    <mergeCell ref="U34:U35"/>
    <mergeCell ref="V34:V35"/>
    <mergeCell ref="R26:R27"/>
    <mergeCell ref="T26:T27"/>
    <mergeCell ref="U26:U27"/>
    <mergeCell ref="V26:V27"/>
    <mergeCell ref="R30:R31"/>
    <mergeCell ref="T30:T31"/>
    <mergeCell ref="U30:U31"/>
    <mergeCell ref="V30:V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Costa, Giovanni</dc:creator>
  <cp:lastModifiedBy>Nicolas Loizeau</cp:lastModifiedBy>
  <dcterms:created xsi:type="dcterms:W3CDTF">2026-05-28T22:06:00Z</dcterms:created>
  <dcterms:modified xsi:type="dcterms:W3CDTF">2026-09-15T15:04:28Z</dcterms:modified>
</cp:coreProperties>
</file>