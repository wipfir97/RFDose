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EEH\EMF\ETAIN\06_WP2\SAR\YODA_2026\"/>
    </mc:Choice>
  </mc:AlternateContent>
  <xr:revisionPtr revIDLastSave="0" documentId="13_ncr:1_{FC96CBCA-F21D-45AD-AD79-B8574958B26C}" xr6:coauthVersionLast="47" xr6:coauthVersionMax="47" xr10:uidLastSave="{00000000-0000-0000-0000-000000000000}"/>
  <bookViews>
    <workbookView xWindow="14565" yWindow="-19350" windowWidth="23820" windowHeight="16080" xr2:uid="{A478E663-3102-46D9-9825-099B704538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" i="1" l="1"/>
  <c r="I2" i="1"/>
  <c r="I11" i="1"/>
  <c r="K10" i="1"/>
  <c r="K13" i="1"/>
  <c r="I8" i="1" l="1"/>
  <c r="J8" i="1"/>
  <c r="K8" i="1" s="1"/>
  <c r="L8" i="1" s="1"/>
  <c r="L3" i="1"/>
  <c r="L4" i="1"/>
  <c r="L6" i="1"/>
  <c r="L7" i="1"/>
  <c r="L9" i="1"/>
  <c r="L10" i="1"/>
  <c r="L12" i="1"/>
  <c r="L13" i="1"/>
  <c r="K2" i="1"/>
  <c r="M2" i="1" s="1"/>
  <c r="J2" i="1"/>
  <c r="J3" i="1"/>
  <c r="J4" i="1"/>
  <c r="J5" i="1"/>
  <c r="J6" i="1"/>
  <c r="J7" i="1"/>
  <c r="J9" i="1"/>
  <c r="J10" i="1"/>
  <c r="J11" i="1"/>
  <c r="J12" i="1"/>
  <c r="J13" i="1"/>
  <c r="I3" i="1"/>
  <c r="I4" i="1"/>
  <c r="I5" i="1"/>
  <c r="I6" i="1"/>
  <c r="I7" i="1"/>
  <c r="K7" i="1" s="1"/>
  <c r="I9" i="1"/>
  <c r="I10" i="1"/>
  <c r="I12" i="1"/>
  <c r="I13" i="1"/>
  <c r="K5" i="1"/>
  <c r="L2" i="1" l="1"/>
  <c r="K11" i="1"/>
  <c r="L11" i="1" s="1"/>
  <c r="K3" i="1"/>
  <c r="K9" i="1"/>
  <c r="K12" i="1"/>
  <c r="K4" i="1"/>
  <c r="K6" i="1"/>
</calcChain>
</file>

<file path=xl/sharedStrings.xml><?xml version="1.0" encoding="utf-8"?>
<sst xmlns="http://schemas.openxmlformats.org/spreadsheetml/2006/main" count="23" uniqueCount="23">
  <si>
    <t>Plane Wave impinging from</t>
  </si>
  <si>
    <t>Frequency [MHz]</t>
  </si>
  <si>
    <t>WholeBody SARwb, Duke [m^2*mW/kg/W]</t>
  </si>
  <si>
    <t>WholeBody SARwb, Ella [m^2*mW/kg/W]</t>
  </si>
  <si>
    <t>Incident power density, Duke [mW/m^2]</t>
  </si>
  <si>
    <t>Incident power density, Ella [mW/m^2]</t>
  </si>
  <si>
    <t>bottom1</t>
  </si>
  <si>
    <t>bottom2</t>
  </si>
  <si>
    <t>back1</t>
  </si>
  <si>
    <t>back2</t>
  </si>
  <si>
    <t>top1</t>
  </si>
  <si>
    <t>top2</t>
  </si>
  <si>
    <t>right1</t>
  </si>
  <si>
    <t>right2</t>
  </si>
  <si>
    <t>front1</t>
  </si>
  <si>
    <t>front2</t>
  </si>
  <si>
    <t>left1</t>
  </si>
  <si>
    <t>left2</t>
  </si>
  <si>
    <t>Mean total, W/kg per W/m2</t>
  </si>
  <si>
    <t>braodcast only, W/kg per W/m2</t>
  </si>
  <si>
    <t>Mean total, mW/kg per W/m2</t>
  </si>
  <si>
    <r>
      <t>Duke Mean,mW/kg per W/m</t>
    </r>
    <r>
      <rPr>
        <vertAlign val="superscript"/>
        <sz val="11"/>
        <color theme="1"/>
        <rFont val="Calibri"/>
        <family val="2"/>
        <scheme val="minor"/>
      </rPr>
      <t>2</t>
    </r>
  </si>
  <si>
    <t>Ella Mean, mW/m2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</si>
</sst>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3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68FA-0A84-4AC1-9BA5-38B421C49D3A}">
  <dimension ref="A1:M156"/>
  <sheetViews>
    <sheetView tabSelected="1" zoomScale="66" workbookViewId="0">
      <selection activeCell="L2" sqref="L2"/>
    </sheetView>
  </sheetViews>
  <sheetFormatPr defaultRowHeight="14.5" x14ac:dyDescent="0.35"/>
  <cols>
    <col min="9" max="9" width="24.6328125" bestFit="1" customWidth="1"/>
    <col min="10" max="10" width="15.36328125" bestFit="1" customWidth="1"/>
    <col min="11" max="11" width="25.08984375" bestFit="1" customWidth="1"/>
    <col min="12" max="12" width="31.36328125" customWidth="1"/>
    <col min="13" max="13" width="28.26953125" bestFit="1" customWidth="1"/>
    <col min="14" max="14" width="9.6328125" bestFit="1" customWidth="1"/>
    <col min="15" max="16" width="9.36328125" bestFit="1" customWidth="1"/>
    <col min="17" max="17" width="10.08984375" bestFit="1" customWidth="1"/>
    <col min="18" max="18" width="9.6328125" bestFit="1" customWidth="1"/>
  </cols>
  <sheetData>
    <row r="1" spans="1:13" ht="16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21</v>
      </c>
      <c r="J1" t="s">
        <v>22</v>
      </c>
      <c r="K1" t="s">
        <v>20</v>
      </c>
      <c r="L1" t="s">
        <v>18</v>
      </c>
      <c r="M1" t="s">
        <v>19</v>
      </c>
    </row>
    <row r="2" spans="1:13" x14ac:dyDescent="0.35">
      <c r="A2" t="s">
        <v>6</v>
      </c>
      <c r="B2">
        <v>100</v>
      </c>
      <c r="C2">
        <v>1.8244915000000004</v>
      </c>
      <c r="D2">
        <v>1.4964864200000003</v>
      </c>
      <c r="E2">
        <v>1.3262599469496019</v>
      </c>
      <c r="F2">
        <v>1.3262599469496019</v>
      </c>
      <c r="I2" s="1">
        <f>AVERAGE(C2,C15,C28,C41,C54,C67,C80,C93,C106,C119,C132,C145)</f>
        <v>7.8791542266666674</v>
      </c>
      <c r="J2" s="1">
        <f>AVERAGE(D2,D15,D28,D41,D54,D67,D80,D93,D106,D119,D132,D145)</f>
        <v>9.4156560550000012</v>
      </c>
      <c r="K2" s="1">
        <f>AVERAGE(I2:J2)</f>
        <v>8.6474051408333352</v>
      </c>
      <c r="L2" s="1">
        <f>K2/1000</f>
        <v>8.6474051408333349E-3</v>
      </c>
      <c r="M2" s="1">
        <f>AVERAGE(K2:K4)/1000</f>
        <v>6.8286363961111126E-3</v>
      </c>
    </row>
    <row r="3" spans="1:13" x14ac:dyDescent="0.35">
      <c r="B3">
        <v>300</v>
      </c>
      <c r="C3">
        <v>4.9991029400000011</v>
      </c>
      <c r="D3">
        <v>5.8164087800000015</v>
      </c>
      <c r="E3">
        <v>1.3262599469496019</v>
      </c>
      <c r="F3">
        <v>1.3262599469496019</v>
      </c>
      <c r="I3" s="1">
        <f t="shared" ref="I3:J13" si="0">AVERAGE(C3,C16,C29,C42,C55,C68,C81,C94,C107,C120,C133,C146)</f>
        <v>5.3536758383333343</v>
      </c>
      <c r="J3" s="1">
        <f t="shared" si="0"/>
        <v>6.3692522616666674</v>
      </c>
      <c r="K3" s="1">
        <f t="shared" ref="K3:K12" si="1">AVERAGE(I3:J3)</f>
        <v>5.8614640500000004</v>
      </c>
      <c r="L3" s="1">
        <f t="shared" ref="L3:L13" si="2">K3/1000</f>
        <v>5.8614640500000001E-3</v>
      </c>
    </row>
    <row r="4" spans="1:13" x14ac:dyDescent="0.35">
      <c r="B4">
        <v>500</v>
      </c>
      <c r="C4">
        <v>5.0919580400000015</v>
      </c>
      <c r="D4">
        <v>6.401738980000002</v>
      </c>
      <c r="E4">
        <v>1.3262599469496019</v>
      </c>
      <c r="F4">
        <v>1.3262599469496019</v>
      </c>
      <c r="I4" s="1">
        <f t="shared" si="0"/>
        <v>5.4265090966666678</v>
      </c>
      <c r="J4" s="1">
        <f t="shared" si="0"/>
        <v>6.5275708983333347</v>
      </c>
      <c r="K4" s="1">
        <f t="shared" si="1"/>
        <v>5.9770399975000013</v>
      </c>
      <c r="L4" s="1">
        <f t="shared" si="2"/>
        <v>5.977039997500001E-3</v>
      </c>
    </row>
    <row r="5" spans="1:13" x14ac:dyDescent="0.35">
      <c r="B5">
        <v>700</v>
      </c>
      <c r="C5">
        <v>4.3426328400000012</v>
      </c>
      <c r="D5">
        <v>5.2863392400000011</v>
      </c>
      <c r="E5">
        <v>1.3262599469496019</v>
      </c>
      <c r="F5">
        <v>1.3262599469496019</v>
      </c>
      <c r="I5" s="1">
        <f t="shared" si="0"/>
        <v>5.0264191033333336</v>
      </c>
      <c r="J5" s="1">
        <f t="shared" si="0"/>
        <v>6.2281034616666693</v>
      </c>
      <c r="K5" s="1">
        <f>AVERAGE(I5:J5)</f>
        <v>5.627261282500001</v>
      </c>
      <c r="L5" s="1">
        <f>K5/1000</f>
        <v>5.6272612825000014E-3</v>
      </c>
    </row>
    <row r="6" spans="1:13" x14ac:dyDescent="0.35">
      <c r="B6">
        <v>800</v>
      </c>
      <c r="C6">
        <v>4.129009560000001</v>
      </c>
      <c r="D6">
        <v>4.8724007800000013</v>
      </c>
      <c r="E6">
        <v>1.3262599469496019</v>
      </c>
      <c r="F6">
        <v>1.3262599469496019</v>
      </c>
      <c r="I6" s="1">
        <f t="shared" si="0"/>
        <v>4.9110922900000009</v>
      </c>
      <c r="J6" s="1">
        <f t="shared" si="0"/>
        <v>6.0649447733333339</v>
      </c>
      <c r="K6" s="1">
        <f t="shared" si="1"/>
        <v>5.4880185316666674</v>
      </c>
      <c r="L6" s="1">
        <f t="shared" si="2"/>
        <v>5.4880185316666672E-3</v>
      </c>
    </row>
    <row r="7" spans="1:13" x14ac:dyDescent="0.35">
      <c r="B7">
        <v>900</v>
      </c>
      <c r="C7">
        <v>3.8306517600000007</v>
      </c>
      <c r="D7">
        <v>4.3949604400000011</v>
      </c>
      <c r="E7">
        <v>1.3262599469496019</v>
      </c>
      <c r="F7">
        <v>1.3262599469496019</v>
      </c>
      <c r="I7" s="1">
        <f t="shared" si="0"/>
        <v>4.7741137383333347</v>
      </c>
      <c r="J7" s="1">
        <f t="shared" si="0"/>
        <v>5.8900104900000017</v>
      </c>
      <c r="K7" s="1">
        <f t="shared" si="1"/>
        <v>5.3320621141666678</v>
      </c>
      <c r="L7" s="1">
        <f t="shared" si="2"/>
        <v>5.3320621141666677E-3</v>
      </c>
    </row>
    <row r="8" spans="1:13" x14ac:dyDescent="0.35">
      <c r="B8">
        <v>1800</v>
      </c>
      <c r="C8">
        <v>2.3196583800000008</v>
      </c>
      <c r="D8">
        <v>2.3921177800000004</v>
      </c>
      <c r="E8">
        <v>1.3262599469496019</v>
      </c>
      <c r="F8">
        <v>1.3262599469496019</v>
      </c>
      <c r="I8" s="1">
        <f>AVERAGE(C8,C21,C34,C47,C60,C73,C86,C99,C112,C125,C138,C151)</f>
        <v>4.0641429400000009</v>
      </c>
      <c r="J8" s="1">
        <f>AVERAGE(D8,D21,D34,D47,D60,D73,D86,D99,D112,D125,D138,D151)</f>
        <v>4.4133486150000003</v>
      </c>
      <c r="K8" s="1">
        <f t="shared" si="1"/>
        <v>4.2387457775000001</v>
      </c>
      <c r="L8" s="1">
        <f t="shared" si="2"/>
        <v>4.2387457775000005E-3</v>
      </c>
    </row>
    <row r="9" spans="1:13" x14ac:dyDescent="0.35">
      <c r="B9">
        <v>2100</v>
      </c>
      <c r="C9">
        <v>2.0814547000000005</v>
      </c>
      <c r="D9">
        <v>2.1358708800000006</v>
      </c>
      <c r="E9">
        <v>1.3262599469496019</v>
      </c>
      <c r="F9">
        <v>1.3262599469496019</v>
      </c>
      <c r="I9" s="1">
        <f t="shared" si="0"/>
        <v>3.9138996433333344</v>
      </c>
      <c r="J9" s="1">
        <f t="shared" si="0"/>
        <v>3.9953002266666675</v>
      </c>
      <c r="K9" s="1">
        <f t="shared" si="1"/>
        <v>3.954599935000001</v>
      </c>
      <c r="L9" s="1">
        <f t="shared" si="2"/>
        <v>3.9545999350000006E-3</v>
      </c>
    </row>
    <row r="10" spans="1:13" x14ac:dyDescent="0.35">
      <c r="B10">
        <v>2450</v>
      </c>
      <c r="C10">
        <v>1.7661620600000003</v>
      </c>
      <c r="D10">
        <v>1.8965135800000004</v>
      </c>
      <c r="E10">
        <v>1.3262599469496019</v>
      </c>
      <c r="F10">
        <v>1.3262599469496019</v>
      </c>
      <c r="I10" s="1">
        <f t="shared" si="0"/>
        <v>3.5759266833333334</v>
      </c>
      <c r="J10" s="1">
        <f t="shared" si="0"/>
        <v>3.5433827866666676</v>
      </c>
      <c r="K10" s="1">
        <f>AVERAGE(I10:J10)</f>
        <v>3.5596547350000005</v>
      </c>
      <c r="L10" s="1">
        <f t="shared" si="2"/>
        <v>3.5596547350000003E-3</v>
      </c>
    </row>
    <row r="11" spans="1:13" x14ac:dyDescent="0.35">
      <c r="B11">
        <v>2600</v>
      </c>
      <c r="C11">
        <v>1.6769638600000005</v>
      </c>
      <c r="D11">
        <v>1.8224029200000005</v>
      </c>
      <c r="E11">
        <v>1.3262599469496019</v>
      </c>
      <c r="F11">
        <v>1.3262599469496019</v>
      </c>
      <c r="I11" s="1">
        <f>AVERAGE(C11,C24,C37,C50,C63,C76,C89,C102,C115,C128,C141,C154)</f>
        <v>3.4771602233333336</v>
      </c>
      <c r="J11" s="1">
        <f t="shared" si="0"/>
        <v>3.406340773333334</v>
      </c>
      <c r="K11" s="1">
        <f t="shared" si="1"/>
        <v>3.4417504983333336</v>
      </c>
      <c r="L11" s="1">
        <f>K11/1000</f>
        <v>3.4417504983333337E-3</v>
      </c>
    </row>
    <row r="12" spans="1:13" x14ac:dyDescent="0.35">
      <c r="B12">
        <v>3500</v>
      </c>
      <c r="C12">
        <v>1.3209175200000003</v>
      </c>
      <c r="D12">
        <v>1.5816507200000003</v>
      </c>
      <c r="E12">
        <v>1.3262599469496019</v>
      </c>
      <c r="F12">
        <v>1.3262599469496019</v>
      </c>
      <c r="I12" s="1">
        <f t="shared" si="0"/>
        <v>2.8976553016666671</v>
      </c>
      <c r="J12" s="1">
        <f t="shared" si="0"/>
        <v>2.912294211666667</v>
      </c>
      <c r="K12" s="1">
        <f t="shared" si="1"/>
        <v>2.9049747566666673</v>
      </c>
      <c r="L12" s="1">
        <f t="shared" si="2"/>
        <v>2.9049747566666671E-3</v>
      </c>
    </row>
    <row r="13" spans="1:13" x14ac:dyDescent="0.35">
      <c r="B13">
        <v>5000</v>
      </c>
      <c r="C13">
        <v>1.0510383000000003</v>
      </c>
      <c r="D13">
        <v>1.3045255600000003</v>
      </c>
      <c r="E13">
        <v>1.3262599469496019</v>
      </c>
      <c r="F13">
        <v>1.3262599469496019</v>
      </c>
      <c r="I13" s="1">
        <f t="shared" si="0"/>
        <v>2.2705522450000006</v>
      </c>
      <c r="J13" s="1">
        <f t="shared" si="0"/>
        <v>2.5330246716666669</v>
      </c>
      <c r="K13" s="1">
        <f>AVERAGE(I13:J13)</f>
        <v>2.4017884583333338</v>
      </c>
      <c r="L13" s="1">
        <f t="shared" si="2"/>
        <v>2.4017884583333337E-3</v>
      </c>
    </row>
    <row r="15" spans="1:13" x14ac:dyDescent="0.35">
      <c r="A15" t="s">
        <v>7</v>
      </c>
      <c r="B15">
        <v>100</v>
      </c>
      <c r="C15">
        <v>5.5040718200000009</v>
      </c>
      <c r="D15">
        <v>5.685092140000001</v>
      </c>
      <c r="E15">
        <v>1.3262599469496019</v>
      </c>
      <c r="F15">
        <v>1.3262599469496019</v>
      </c>
    </row>
    <row r="16" spans="1:13" x14ac:dyDescent="0.35">
      <c r="B16">
        <v>300</v>
      </c>
      <c r="C16">
        <v>6.2565864400000004</v>
      </c>
      <c r="D16">
        <v>7.1167798000000015</v>
      </c>
      <c r="E16">
        <v>1.3262599469496019</v>
      </c>
      <c r="F16">
        <v>1.3262599469496019</v>
      </c>
    </row>
    <row r="17" spans="1:6" x14ac:dyDescent="0.35">
      <c r="B17">
        <v>500</v>
      </c>
      <c r="C17">
        <v>5.4448903600000014</v>
      </c>
      <c r="D17">
        <v>6.3839822800000015</v>
      </c>
      <c r="E17">
        <v>1.3262599469496019</v>
      </c>
      <c r="F17">
        <v>1.3262599469496019</v>
      </c>
    </row>
    <row r="18" spans="1:6" x14ac:dyDescent="0.35">
      <c r="B18">
        <v>700</v>
      </c>
      <c r="C18">
        <v>4.4124155400000005</v>
      </c>
      <c r="D18">
        <v>5.4241779800000014</v>
      </c>
      <c r="E18">
        <v>1.3262599469496019</v>
      </c>
      <c r="F18">
        <v>1.3262599469496019</v>
      </c>
    </row>
    <row r="19" spans="1:6" x14ac:dyDescent="0.35">
      <c r="B19">
        <v>800</v>
      </c>
      <c r="C19">
        <v>4.0805273600000005</v>
      </c>
      <c r="D19">
        <v>4.8148555000000011</v>
      </c>
      <c r="E19">
        <v>1.3262599469496019</v>
      </c>
      <c r="F19">
        <v>1.3262599469496019</v>
      </c>
    </row>
    <row r="20" spans="1:6" x14ac:dyDescent="0.35">
      <c r="B20">
        <v>900</v>
      </c>
      <c r="C20">
        <v>3.7747577400000005</v>
      </c>
      <c r="D20">
        <v>4.4431862800000017</v>
      </c>
      <c r="E20">
        <v>1.3262599469496019</v>
      </c>
      <c r="F20">
        <v>1.3262599469496019</v>
      </c>
    </row>
    <row r="21" spans="1:6" x14ac:dyDescent="0.35">
      <c r="B21">
        <v>1800</v>
      </c>
      <c r="C21">
        <v>2.3247554200000002</v>
      </c>
      <c r="D21">
        <v>2.4398912200000007</v>
      </c>
      <c r="E21">
        <v>1.3262599469496019</v>
      </c>
      <c r="F21">
        <v>1.3262599469496019</v>
      </c>
    </row>
    <row r="22" spans="1:6" x14ac:dyDescent="0.35">
      <c r="B22">
        <v>2100</v>
      </c>
      <c r="C22">
        <v>2.0658695200000006</v>
      </c>
      <c r="D22">
        <v>2.1601572200000003</v>
      </c>
      <c r="E22">
        <v>1.3262599469496019</v>
      </c>
      <c r="F22">
        <v>1.3262599469496019</v>
      </c>
    </row>
    <row r="23" spans="1:6" x14ac:dyDescent="0.35">
      <c r="B23">
        <v>2450</v>
      </c>
      <c r="C23">
        <v>1.7253932800000005</v>
      </c>
      <c r="D23">
        <v>1.9365736000000002</v>
      </c>
      <c r="E23">
        <v>1.3262599469496019</v>
      </c>
      <c r="F23">
        <v>1.3262599469496019</v>
      </c>
    </row>
    <row r="24" spans="1:6" x14ac:dyDescent="0.35">
      <c r="B24">
        <v>2600</v>
      </c>
      <c r="C24">
        <v>1.6384420000000006</v>
      </c>
      <c r="D24">
        <v>1.8575619400000003</v>
      </c>
      <c r="E24">
        <v>1.3262599469496019</v>
      </c>
      <c r="F24">
        <v>1.3262599469496019</v>
      </c>
    </row>
    <row r="25" spans="1:6" x14ac:dyDescent="0.35">
      <c r="B25">
        <v>3500</v>
      </c>
      <c r="C25">
        <v>1.2959601200000002</v>
      </c>
      <c r="D25">
        <v>1.5346388200000003</v>
      </c>
      <c r="E25">
        <v>1.3262599469496019</v>
      </c>
      <c r="F25">
        <v>1.3262599469496019</v>
      </c>
    </row>
    <row r="26" spans="1:6" x14ac:dyDescent="0.35">
      <c r="B26">
        <v>5000</v>
      </c>
      <c r="C26">
        <v>0.96159882000000019</v>
      </c>
      <c r="D26">
        <v>1.1779666600000003</v>
      </c>
      <c r="E26">
        <v>1.3262599469496019</v>
      </c>
      <c r="F26">
        <v>1.3262599469496019</v>
      </c>
    </row>
    <row r="28" spans="1:6" x14ac:dyDescent="0.35">
      <c r="A28" t="s">
        <v>8</v>
      </c>
      <c r="B28">
        <v>100</v>
      </c>
      <c r="C28">
        <v>16.849336400000006</v>
      </c>
      <c r="D28">
        <v>21.213790000000007</v>
      </c>
      <c r="E28">
        <v>1.3262599469496019</v>
      </c>
      <c r="F28">
        <v>1.3262599469496019</v>
      </c>
    </row>
    <row r="29" spans="1:6" x14ac:dyDescent="0.35">
      <c r="B29">
        <v>300</v>
      </c>
      <c r="C29">
        <v>6.4921360400000019</v>
      </c>
      <c r="D29">
        <v>7.8449176000000005</v>
      </c>
      <c r="E29">
        <v>1.3262599469496019</v>
      </c>
      <c r="F29">
        <v>1.3262599469496019</v>
      </c>
    </row>
    <row r="30" spans="1:6" x14ac:dyDescent="0.35">
      <c r="B30">
        <v>500</v>
      </c>
      <c r="C30">
        <v>6.6550302000000023</v>
      </c>
      <c r="D30">
        <v>7.9474616000000022</v>
      </c>
      <c r="E30">
        <v>1.3262599469496019</v>
      </c>
      <c r="F30">
        <v>1.3262599469496019</v>
      </c>
    </row>
    <row r="31" spans="1:6" x14ac:dyDescent="0.35">
      <c r="B31">
        <v>700</v>
      </c>
      <c r="C31">
        <v>6.5739450400000008</v>
      </c>
      <c r="D31">
        <v>8.4361290000000029</v>
      </c>
      <c r="E31">
        <v>1.3262599469496019</v>
      </c>
      <c r="F31">
        <v>1.3262599469496019</v>
      </c>
    </row>
    <row r="32" spans="1:6" x14ac:dyDescent="0.35">
      <c r="B32">
        <v>800</v>
      </c>
      <c r="C32">
        <v>6.6229098000000022</v>
      </c>
      <c r="D32">
        <v>8.3789004000000009</v>
      </c>
      <c r="E32">
        <v>1.3262599469496019</v>
      </c>
      <c r="F32">
        <v>1.3262599469496019</v>
      </c>
    </row>
    <row r="33" spans="1:6" x14ac:dyDescent="0.35">
      <c r="B33">
        <v>900</v>
      </c>
      <c r="C33">
        <v>6.7078931400000021</v>
      </c>
      <c r="D33">
        <v>8.3180526000000015</v>
      </c>
      <c r="E33">
        <v>1.3262599469496019</v>
      </c>
      <c r="F33">
        <v>1.3262599469496019</v>
      </c>
    </row>
    <row r="34" spans="1:6" x14ac:dyDescent="0.35">
      <c r="B34">
        <v>1800</v>
      </c>
      <c r="C34">
        <v>6.0417416800000012</v>
      </c>
      <c r="D34">
        <v>6.7221060400000008</v>
      </c>
      <c r="E34">
        <v>1.3262599469496019</v>
      </c>
      <c r="F34">
        <v>1.3262599469496019</v>
      </c>
    </row>
    <row r="35" spans="1:6" x14ac:dyDescent="0.35">
      <c r="B35">
        <v>2100</v>
      </c>
      <c r="C35">
        <v>5.9133053200000019</v>
      </c>
      <c r="D35">
        <v>6.0889345400000012</v>
      </c>
      <c r="E35">
        <v>1.3262599469496019</v>
      </c>
      <c r="F35">
        <v>1.3262599469496019</v>
      </c>
    </row>
    <row r="36" spans="1:6" x14ac:dyDescent="0.35">
      <c r="B36">
        <v>2450</v>
      </c>
      <c r="C36">
        <v>5.3983987200000012</v>
      </c>
      <c r="D36">
        <v>5.3067198600000003</v>
      </c>
      <c r="E36">
        <v>1.3262599469496019</v>
      </c>
      <c r="F36">
        <v>1.3262599469496019</v>
      </c>
    </row>
    <row r="37" spans="1:6" x14ac:dyDescent="0.35">
      <c r="B37">
        <v>2600</v>
      </c>
      <c r="C37">
        <v>5.2312143000000013</v>
      </c>
      <c r="D37">
        <v>5.0721580000000008</v>
      </c>
      <c r="E37">
        <v>1.3262599469496019</v>
      </c>
      <c r="F37">
        <v>1.3262599469496019</v>
      </c>
    </row>
    <row r="38" spans="1:6" x14ac:dyDescent="0.35">
      <c r="B38">
        <v>3500</v>
      </c>
      <c r="C38">
        <v>4.3814563000000009</v>
      </c>
      <c r="D38">
        <v>4.1777255000000011</v>
      </c>
      <c r="E38">
        <v>1.3262599469496019</v>
      </c>
      <c r="F38">
        <v>1.3262599469496019</v>
      </c>
    </row>
    <row r="39" spans="1:6" x14ac:dyDescent="0.35">
      <c r="B39">
        <v>5000</v>
      </c>
      <c r="C39">
        <v>3.3769247200000008</v>
      </c>
      <c r="D39">
        <v>3.6565380800000007</v>
      </c>
      <c r="E39">
        <v>1.3262599469496019</v>
      </c>
      <c r="F39">
        <v>1.3262599469496019</v>
      </c>
    </row>
    <row r="41" spans="1:6" x14ac:dyDescent="0.35">
      <c r="A41" t="s">
        <v>9</v>
      </c>
      <c r="B41">
        <v>100</v>
      </c>
      <c r="C41">
        <v>3.5601844200000006</v>
      </c>
      <c r="D41">
        <v>3.5418697600000009</v>
      </c>
      <c r="E41">
        <v>1.3262599469496019</v>
      </c>
      <c r="F41">
        <v>1.3262599469496019</v>
      </c>
    </row>
    <row r="42" spans="1:6" x14ac:dyDescent="0.35">
      <c r="B42">
        <v>300</v>
      </c>
      <c r="C42">
        <v>4.8952846800000005</v>
      </c>
      <c r="D42">
        <v>5.5910004800000008</v>
      </c>
      <c r="E42">
        <v>1.3262599469496019</v>
      </c>
      <c r="F42">
        <v>1.3262599469496019</v>
      </c>
    </row>
    <row r="43" spans="1:6" x14ac:dyDescent="0.35">
      <c r="B43">
        <v>500</v>
      </c>
      <c r="C43">
        <v>5.4589147600000008</v>
      </c>
      <c r="D43">
        <v>6.5286899600000012</v>
      </c>
      <c r="E43">
        <v>1.3262599469496019</v>
      </c>
      <c r="F43">
        <v>1.3262599469496019</v>
      </c>
    </row>
    <row r="44" spans="1:6" x14ac:dyDescent="0.35">
      <c r="B44">
        <v>700</v>
      </c>
      <c r="C44">
        <v>5.9407433800000016</v>
      </c>
      <c r="D44">
        <v>7.0875773800000017</v>
      </c>
      <c r="E44">
        <v>1.3262599469496019</v>
      </c>
      <c r="F44">
        <v>1.3262599469496019</v>
      </c>
    </row>
    <row r="45" spans="1:6" x14ac:dyDescent="0.35">
      <c r="B45">
        <v>800</v>
      </c>
      <c r="C45">
        <v>6.1101068600000019</v>
      </c>
      <c r="D45">
        <v>7.2550181600000014</v>
      </c>
      <c r="E45">
        <v>1.3262599469496019</v>
      </c>
      <c r="F45">
        <v>1.3262599469496019</v>
      </c>
    </row>
    <row r="46" spans="1:6" x14ac:dyDescent="0.35">
      <c r="B46">
        <v>900</v>
      </c>
      <c r="C46">
        <v>6.2422755200000015</v>
      </c>
      <c r="D46">
        <v>7.417821840000002</v>
      </c>
      <c r="E46">
        <v>1.3262599469496019</v>
      </c>
      <c r="F46">
        <v>1.3262599469496019</v>
      </c>
    </row>
    <row r="47" spans="1:6" x14ac:dyDescent="0.35">
      <c r="B47">
        <v>1800</v>
      </c>
      <c r="C47">
        <v>6.2209599400000002</v>
      </c>
      <c r="D47">
        <v>6.7485865200000017</v>
      </c>
      <c r="E47">
        <v>1.3262599469496019</v>
      </c>
      <c r="F47">
        <v>1.3262599469496019</v>
      </c>
    </row>
    <row r="48" spans="1:6" x14ac:dyDescent="0.35">
      <c r="B48">
        <v>2100</v>
      </c>
      <c r="C48">
        <v>6.0733418200000013</v>
      </c>
      <c r="D48">
        <v>6.2402472600000012</v>
      </c>
      <c r="E48">
        <v>1.3262599469496019</v>
      </c>
      <c r="F48">
        <v>1.3262599469496019</v>
      </c>
    </row>
    <row r="49" spans="1:6" x14ac:dyDescent="0.35">
      <c r="B49">
        <v>2450</v>
      </c>
      <c r="C49">
        <v>5.6710225000000012</v>
      </c>
      <c r="D49">
        <v>5.6595164600000016</v>
      </c>
      <c r="E49">
        <v>1.3262599469496019</v>
      </c>
      <c r="F49">
        <v>1.3262599469496019</v>
      </c>
    </row>
    <row r="50" spans="1:6" x14ac:dyDescent="0.35">
      <c r="B50">
        <v>2600</v>
      </c>
      <c r="C50">
        <v>5.535392980000001</v>
      </c>
      <c r="D50">
        <v>5.4647205600000017</v>
      </c>
      <c r="E50">
        <v>1.3262599469496019</v>
      </c>
      <c r="F50">
        <v>1.3262599469496019</v>
      </c>
    </row>
    <row r="51" spans="1:6" x14ac:dyDescent="0.35">
      <c r="B51">
        <v>3500</v>
      </c>
      <c r="C51">
        <v>4.6925944000000008</v>
      </c>
      <c r="D51">
        <v>4.6193282200000008</v>
      </c>
      <c r="E51">
        <v>1.3262599469496019</v>
      </c>
      <c r="F51">
        <v>1.3262599469496019</v>
      </c>
    </row>
    <row r="52" spans="1:6" x14ac:dyDescent="0.35">
      <c r="B52">
        <v>5000</v>
      </c>
      <c r="C52">
        <v>3.8296187800000006</v>
      </c>
      <c r="D52">
        <v>4.2200927600000009</v>
      </c>
      <c r="E52">
        <v>1.3262599469496019</v>
      </c>
      <c r="F52">
        <v>1.3262599469496019</v>
      </c>
    </row>
    <row r="54" spans="1:6" x14ac:dyDescent="0.35">
      <c r="A54" t="s">
        <v>10</v>
      </c>
      <c r="B54">
        <v>100</v>
      </c>
      <c r="C54">
        <v>1.8136339000000006</v>
      </c>
      <c r="D54">
        <v>1.4960641800000003</v>
      </c>
      <c r="E54">
        <v>1.3262599469496019</v>
      </c>
      <c r="F54">
        <v>1.3262599469496019</v>
      </c>
    </row>
    <row r="55" spans="1:6" x14ac:dyDescent="0.35">
      <c r="B55">
        <v>300</v>
      </c>
      <c r="C55">
        <v>4.8175397400000008</v>
      </c>
      <c r="D55">
        <v>5.5614587600000016</v>
      </c>
      <c r="E55">
        <v>1.3262599469496019</v>
      </c>
      <c r="F55">
        <v>1.3262599469496019</v>
      </c>
    </row>
    <row r="56" spans="1:6" x14ac:dyDescent="0.35">
      <c r="B56">
        <v>500</v>
      </c>
      <c r="C56">
        <v>5.1048891400000018</v>
      </c>
      <c r="D56">
        <v>6.3328912400000013</v>
      </c>
      <c r="E56">
        <v>1.3262599469496019</v>
      </c>
      <c r="F56">
        <v>1.3262599469496019</v>
      </c>
    </row>
    <row r="57" spans="1:6" x14ac:dyDescent="0.35">
      <c r="B57">
        <v>700</v>
      </c>
      <c r="C57">
        <v>4.2395158000000013</v>
      </c>
      <c r="D57">
        <v>5.3327781000000014</v>
      </c>
      <c r="E57">
        <v>1.3262599469496019</v>
      </c>
      <c r="F57">
        <v>1.3262599469496019</v>
      </c>
    </row>
    <row r="58" spans="1:6" x14ac:dyDescent="0.35">
      <c r="B58">
        <v>800</v>
      </c>
      <c r="C58">
        <v>4.0507142000000016</v>
      </c>
      <c r="D58">
        <v>4.8534376800000008</v>
      </c>
      <c r="E58">
        <v>1.3262599469496019</v>
      </c>
      <c r="F58">
        <v>1.3262599469496019</v>
      </c>
    </row>
    <row r="59" spans="1:6" x14ac:dyDescent="0.35">
      <c r="B59">
        <v>900</v>
      </c>
      <c r="C59">
        <v>3.7900639400000009</v>
      </c>
      <c r="D59">
        <v>4.3729587200000015</v>
      </c>
      <c r="E59">
        <v>1.3262599469496019</v>
      </c>
      <c r="F59">
        <v>1.3262599469496019</v>
      </c>
    </row>
    <row r="60" spans="1:6" x14ac:dyDescent="0.35">
      <c r="B60">
        <v>1800</v>
      </c>
      <c r="C60">
        <v>2.4006832200000008</v>
      </c>
      <c r="D60">
        <v>2.4799437000000002</v>
      </c>
      <c r="E60">
        <v>1.3262599469496019</v>
      </c>
      <c r="F60">
        <v>1.3262599469496019</v>
      </c>
    </row>
    <row r="61" spans="1:6" x14ac:dyDescent="0.35">
      <c r="B61">
        <v>2100</v>
      </c>
      <c r="C61">
        <v>2.1514711400000004</v>
      </c>
      <c r="D61">
        <v>2.2217364000000002</v>
      </c>
      <c r="E61">
        <v>1.3262599469496019</v>
      </c>
      <c r="F61">
        <v>1.3262599469496019</v>
      </c>
    </row>
    <row r="62" spans="1:6" x14ac:dyDescent="0.35">
      <c r="B62">
        <v>2450</v>
      </c>
      <c r="C62">
        <v>1.8670925000000003</v>
      </c>
      <c r="D62">
        <v>1.9579947400000004</v>
      </c>
      <c r="E62">
        <v>1.3262599469496019</v>
      </c>
      <c r="F62">
        <v>1.3262599469496019</v>
      </c>
    </row>
    <row r="63" spans="1:6" x14ac:dyDescent="0.35">
      <c r="B63">
        <v>2600</v>
      </c>
      <c r="C63">
        <v>1.7880582200000004</v>
      </c>
      <c r="D63">
        <v>1.8789755400000003</v>
      </c>
      <c r="E63">
        <v>1.3262599469496019</v>
      </c>
      <c r="F63">
        <v>1.3262599469496019</v>
      </c>
    </row>
    <row r="64" spans="1:6" x14ac:dyDescent="0.35">
      <c r="B64">
        <v>3500</v>
      </c>
      <c r="C64">
        <v>1.4492332400000003</v>
      </c>
      <c r="D64">
        <v>1.6586567400000003</v>
      </c>
      <c r="E64">
        <v>1.3262599469496019</v>
      </c>
      <c r="F64">
        <v>1.3262599469496019</v>
      </c>
    </row>
    <row r="65" spans="1:6" x14ac:dyDescent="0.35">
      <c r="B65">
        <v>5000</v>
      </c>
      <c r="C65">
        <v>1.1110868600000001</v>
      </c>
      <c r="D65">
        <v>1.3463574800000002</v>
      </c>
      <c r="E65">
        <v>1.3262599469496019</v>
      </c>
      <c r="F65">
        <v>1.3262599469496019</v>
      </c>
    </row>
    <row r="67" spans="1:6" x14ac:dyDescent="0.35">
      <c r="A67" t="s">
        <v>11</v>
      </c>
      <c r="B67">
        <v>100</v>
      </c>
      <c r="C67">
        <v>5.2572423800000019</v>
      </c>
      <c r="D67">
        <v>5.5627858000000012</v>
      </c>
      <c r="E67">
        <v>1.3262599469496019</v>
      </c>
      <c r="F67">
        <v>1.3262599469496019</v>
      </c>
    </row>
    <row r="68" spans="1:6" x14ac:dyDescent="0.35">
      <c r="B68">
        <v>300</v>
      </c>
      <c r="C68">
        <v>5.8489665000000004</v>
      </c>
      <c r="D68">
        <v>6.9646226000000011</v>
      </c>
      <c r="E68">
        <v>1.3262599469496019</v>
      </c>
      <c r="F68">
        <v>1.3262599469496019</v>
      </c>
    </row>
    <row r="69" spans="1:6" x14ac:dyDescent="0.35">
      <c r="B69">
        <v>500</v>
      </c>
      <c r="C69">
        <v>4.5453005000000006</v>
      </c>
      <c r="D69">
        <v>5.7308825600000013</v>
      </c>
      <c r="E69">
        <v>1.3262599469496019</v>
      </c>
      <c r="F69">
        <v>1.3262599469496019</v>
      </c>
    </row>
    <row r="70" spans="1:6" x14ac:dyDescent="0.35">
      <c r="B70">
        <v>700</v>
      </c>
      <c r="C70">
        <v>3.7950629600000005</v>
      </c>
      <c r="D70">
        <v>4.7003379800000014</v>
      </c>
      <c r="E70">
        <v>1.3262599469496019</v>
      </c>
      <c r="F70">
        <v>1.3262599469496019</v>
      </c>
    </row>
    <row r="71" spans="1:6" x14ac:dyDescent="0.35">
      <c r="B71">
        <v>800</v>
      </c>
      <c r="C71">
        <v>3.5418245200000014</v>
      </c>
      <c r="D71">
        <v>4.330742260000001</v>
      </c>
      <c r="E71">
        <v>1.3262599469496019</v>
      </c>
      <c r="F71">
        <v>1.3262599469496019</v>
      </c>
    </row>
    <row r="72" spans="1:6" x14ac:dyDescent="0.35">
      <c r="B72">
        <v>900</v>
      </c>
      <c r="C72">
        <v>3.2582375800000007</v>
      </c>
      <c r="D72">
        <v>3.95114096</v>
      </c>
      <c r="E72">
        <v>1.3262599469496019</v>
      </c>
      <c r="F72">
        <v>1.3262599469496019</v>
      </c>
    </row>
    <row r="73" spans="1:6" x14ac:dyDescent="0.35">
      <c r="B73">
        <v>1800</v>
      </c>
      <c r="C73">
        <v>1.9958983200000002</v>
      </c>
      <c r="D73">
        <v>2.2069278400000005</v>
      </c>
      <c r="E73">
        <v>1.3262599469496019</v>
      </c>
      <c r="F73">
        <v>1.3262599469496019</v>
      </c>
    </row>
    <row r="74" spans="1:6" x14ac:dyDescent="0.35">
      <c r="B74">
        <v>2100</v>
      </c>
      <c r="C74">
        <v>1.7698491200000002</v>
      </c>
      <c r="D74">
        <v>1.9246754800000005</v>
      </c>
      <c r="E74">
        <v>1.3262599469496019</v>
      </c>
      <c r="F74">
        <v>1.3262599469496019</v>
      </c>
    </row>
    <row r="75" spans="1:6" x14ac:dyDescent="0.35">
      <c r="B75">
        <v>2450</v>
      </c>
      <c r="C75">
        <v>1.5083317600000006</v>
      </c>
      <c r="D75">
        <v>1.6427021000000002</v>
      </c>
      <c r="E75">
        <v>1.3262599469496019</v>
      </c>
      <c r="F75">
        <v>1.3262599469496019</v>
      </c>
    </row>
    <row r="76" spans="1:6" x14ac:dyDescent="0.35">
      <c r="B76">
        <v>2600</v>
      </c>
      <c r="C76">
        <v>1.4288601600000004</v>
      </c>
      <c r="D76">
        <v>1.5522371800000003</v>
      </c>
      <c r="E76">
        <v>1.3262599469496019</v>
      </c>
      <c r="F76">
        <v>1.3262599469496019</v>
      </c>
    </row>
    <row r="77" spans="1:6" x14ac:dyDescent="0.35">
      <c r="B77">
        <v>3500</v>
      </c>
      <c r="C77">
        <v>1.1007947600000003</v>
      </c>
      <c r="D77">
        <v>1.2412498800000002</v>
      </c>
      <c r="E77">
        <v>1.3262599469496019</v>
      </c>
      <c r="F77">
        <v>1.3262599469496019</v>
      </c>
    </row>
    <row r="78" spans="1:6" x14ac:dyDescent="0.35">
      <c r="B78">
        <v>5000</v>
      </c>
      <c r="C78">
        <v>0.81574506000000002</v>
      </c>
      <c r="D78">
        <v>0.97131788000000019</v>
      </c>
      <c r="E78">
        <v>1.3262599469496019</v>
      </c>
      <c r="F78">
        <v>1.3262599469496019</v>
      </c>
    </row>
    <row r="80" spans="1:6" x14ac:dyDescent="0.35">
      <c r="A80" t="s">
        <v>12</v>
      </c>
      <c r="B80">
        <v>100</v>
      </c>
      <c r="C80">
        <v>18.573055800000002</v>
      </c>
      <c r="D80">
        <v>23.764873600000005</v>
      </c>
      <c r="E80">
        <v>1.3262599469496019</v>
      </c>
      <c r="F80">
        <v>1.3262599469496019</v>
      </c>
    </row>
    <row r="81" spans="1:6" x14ac:dyDescent="0.35">
      <c r="B81">
        <v>300</v>
      </c>
      <c r="C81">
        <v>5.7835117600000014</v>
      </c>
      <c r="D81">
        <v>7.3697166400000009</v>
      </c>
      <c r="E81">
        <v>1.3262599469496019</v>
      </c>
      <c r="F81">
        <v>1.3262599469496019</v>
      </c>
    </row>
    <row r="82" spans="1:6" x14ac:dyDescent="0.35">
      <c r="B82">
        <v>500</v>
      </c>
      <c r="C82">
        <v>4.3679747800000017</v>
      </c>
      <c r="D82">
        <v>5.104632780000002</v>
      </c>
      <c r="E82">
        <v>1.3262599469496019</v>
      </c>
      <c r="F82">
        <v>1.3262599469496019</v>
      </c>
    </row>
    <row r="83" spans="1:6" x14ac:dyDescent="0.35">
      <c r="B83">
        <v>700</v>
      </c>
      <c r="C83">
        <v>3.857071920000001</v>
      </c>
      <c r="D83">
        <v>4.9301873400000016</v>
      </c>
      <c r="E83">
        <v>1.3262599469496019</v>
      </c>
      <c r="F83">
        <v>1.3262599469496019</v>
      </c>
    </row>
    <row r="84" spans="1:6" x14ac:dyDescent="0.35">
      <c r="B84">
        <v>800</v>
      </c>
      <c r="C84">
        <v>3.730264200000001</v>
      </c>
      <c r="D84">
        <v>4.7582376400000008</v>
      </c>
      <c r="E84">
        <v>1.3262599469496019</v>
      </c>
      <c r="F84">
        <v>1.3262599469496019</v>
      </c>
    </row>
    <row r="85" spans="1:6" x14ac:dyDescent="0.35">
      <c r="B85">
        <v>900</v>
      </c>
      <c r="C85">
        <v>3.6086967800000012</v>
      </c>
      <c r="D85">
        <v>4.6627586200000017</v>
      </c>
      <c r="E85">
        <v>1.3262599469496019</v>
      </c>
      <c r="F85">
        <v>1.3262599469496019</v>
      </c>
    </row>
    <row r="86" spans="1:6" x14ac:dyDescent="0.35">
      <c r="B86">
        <v>1800</v>
      </c>
      <c r="C86">
        <v>3.0850890200000007</v>
      </c>
      <c r="D86">
        <v>3.5116871400000012</v>
      </c>
      <c r="E86">
        <v>1.3262599469496019</v>
      </c>
      <c r="F86">
        <v>1.3262599469496019</v>
      </c>
    </row>
    <row r="87" spans="1:6" x14ac:dyDescent="0.35">
      <c r="B87">
        <v>2100</v>
      </c>
      <c r="C87">
        <v>2.9859757200000008</v>
      </c>
      <c r="D87">
        <v>3.1416691800000009</v>
      </c>
      <c r="E87">
        <v>1.3262599469496019</v>
      </c>
      <c r="F87">
        <v>1.3262599469496019</v>
      </c>
    </row>
    <row r="88" spans="1:6" x14ac:dyDescent="0.35">
      <c r="B88">
        <v>2450</v>
      </c>
      <c r="C88">
        <v>2.7188184400000006</v>
      </c>
      <c r="D88">
        <v>2.6918554000000006</v>
      </c>
      <c r="E88">
        <v>1.3262599469496019</v>
      </c>
      <c r="F88">
        <v>1.3262599469496019</v>
      </c>
    </row>
    <row r="89" spans="1:6" x14ac:dyDescent="0.35">
      <c r="B89">
        <v>2600</v>
      </c>
      <c r="C89">
        <v>2.6357050200000005</v>
      </c>
      <c r="D89">
        <v>2.5534888600000003</v>
      </c>
      <c r="E89">
        <v>1.3262599469496019</v>
      </c>
      <c r="F89">
        <v>1.3262599469496019</v>
      </c>
    </row>
    <row r="90" spans="1:6" x14ac:dyDescent="0.35">
      <c r="B90">
        <v>3500</v>
      </c>
      <c r="C90">
        <v>2.1298615000000005</v>
      </c>
      <c r="D90">
        <v>2.0529007200000002</v>
      </c>
      <c r="E90">
        <v>1.3262599469496019</v>
      </c>
      <c r="F90">
        <v>1.3262599469496019</v>
      </c>
    </row>
    <row r="91" spans="1:6" x14ac:dyDescent="0.35">
      <c r="B91">
        <v>5000</v>
      </c>
      <c r="C91">
        <v>1.5842143200000003</v>
      </c>
      <c r="D91">
        <v>1.7190219800000004</v>
      </c>
      <c r="E91">
        <v>1.3262599469496019</v>
      </c>
      <c r="F91">
        <v>1.3262599469496019</v>
      </c>
    </row>
    <row r="93" spans="1:6" x14ac:dyDescent="0.35">
      <c r="A93" t="s">
        <v>13</v>
      </c>
      <c r="B93">
        <v>100</v>
      </c>
      <c r="C93">
        <v>1.2351198600000002</v>
      </c>
      <c r="D93">
        <v>1.0335907400000002</v>
      </c>
      <c r="E93">
        <v>1.3262599469496019</v>
      </c>
      <c r="F93">
        <v>1.3262599469496019</v>
      </c>
    </row>
    <row r="94" spans="1:6" x14ac:dyDescent="0.35">
      <c r="B94">
        <v>300</v>
      </c>
      <c r="C94">
        <v>3.8805213200000011</v>
      </c>
      <c r="D94">
        <v>4.6650206200000008</v>
      </c>
      <c r="E94">
        <v>1.3262599469496019</v>
      </c>
      <c r="F94">
        <v>1.3262599469496019</v>
      </c>
    </row>
    <row r="95" spans="1:6" x14ac:dyDescent="0.35">
      <c r="B95">
        <v>500</v>
      </c>
      <c r="C95">
        <v>5.9644340600000021</v>
      </c>
      <c r="D95">
        <v>7.0626878400000006</v>
      </c>
      <c r="E95">
        <v>1.3262599469496019</v>
      </c>
      <c r="F95">
        <v>1.3262599469496019</v>
      </c>
    </row>
    <row r="96" spans="1:6" x14ac:dyDescent="0.35">
      <c r="B96">
        <v>700</v>
      </c>
      <c r="C96">
        <v>5.442937500000002</v>
      </c>
      <c r="D96">
        <v>6.3193343200000012</v>
      </c>
      <c r="E96">
        <v>1.3262599469496019</v>
      </c>
      <c r="F96">
        <v>1.3262599469496019</v>
      </c>
    </row>
    <row r="97" spans="1:6" x14ac:dyDescent="0.35">
      <c r="B97">
        <v>800</v>
      </c>
      <c r="C97">
        <v>5.2709124000000012</v>
      </c>
      <c r="D97">
        <v>6.2896719600000006</v>
      </c>
      <c r="E97">
        <v>1.3262599469496019</v>
      </c>
      <c r="F97">
        <v>1.3262599469496019</v>
      </c>
    </row>
    <row r="98" spans="1:6" x14ac:dyDescent="0.35">
      <c r="B98">
        <v>900</v>
      </c>
      <c r="C98">
        <v>5.0437095800000016</v>
      </c>
      <c r="D98">
        <v>6.1209644600000015</v>
      </c>
      <c r="E98">
        <v>1.3262599469496019</v>
      </c>
      <c r="F98">
        <v>1.3262599469496019</v>
      </c>
    </row>
    <row r="99" spans="1:6" x14ac:dyDescent="0.35">
      <c r="B99">
        <v>1800</v>
      </c>
      <c r="C99">
        <v>4.3885363600000016</v>
      </c>
      <c r="D99">
        <v>4.654472160000001</v>
      </c>
      <c r="E99">
        <v>1.3262599469496019</v>
      </c>
      <c r="F99">
        <v>1.3262599469496019</v>
      </c>
    </row>
    <row r="100" spans="1:6" x14ac:dyDescent="0.35">
      <c r="B100">
        <v>2100</v>
      </c>
      <c r="C100">
        <v>4.2368692600000006</v>
      </c>
      <c r="D100">
        <v>4.2314178400000015</v>
      </c>
      <c r="E100">
        <v>1.3262599469496019</v>
      </c>
      <c r="F100">
        <v>1.3262599469496019</v>
      </c>
    </row>
    <row r="101" spans="1:6" x14ac:dyDescent="0.35">
      <c r="B101">
        <v>2450</v>
      </c>
      <c r="C101">
        <v>3.920249580000001</v>
      </c>
      <c r="D101">
        <v>3.7859772600000006</v>
      </c>
      <c r="E101">
        <v>1.3262599469496019</v>
      </c>
      <c r="F101">
        <v>1.3262599469496019</v>
      </c>
    </row>
    <row r="102" spans="1:6" x14ac:dyDescent="0.35">
      <c r="B102">
        <v>2600</v>
      </c>
      <c r="C102">
        <v>3.8158507400000006</v>
      </c>
      <c r="D102">
        <v>3.6498953400000005</v>
      </c>
      <c r="E102">
        <v>1.3262599469496019</v>
      </c>
      <c r="F102">
        <v>1.3262599469496019</v>
      </c>
    </row>
    <row r="103" spans="1:6" x14ac:dyDescent="0.35">
      <c r="B103">
        <v>3500</v>
      </c>
      <c r="C103">
        <v>3.1699366400000009</v>
      </c>
      <c r="D103">
        <v>3.2208844200000004</v>
      </c>
      <c r="E103">
        <v>1.3262599469496019</v>
      </c>
      <c r="F103">
        <v>1.3262599469496019</v>
      </c>
    </row>
    <row r="104" spans="1:6" x14ac:dyDescent="0.35">
      <c r="B104">
        <v>5000</v>
      </c>
      <c r="C104">
        <v>2.5394343000000008</v>
      </c>
      <c r="D104">
        <v>2.8892601400000011</v>
      </c>
      <c r="E104">
        <v>1.3262599469496019</v>
      </c>
      <c r="F104">
        <v>1.3262599469496019</v>
      </c>
    </row>
    <row r="106" spans="1:6" x14ac:dyDescent="0.35">
      <c r="A106" t="s">
        <v>14</v>
      </c>
      <c r="B106">
        <v>100</v>
      </c>
      <c r="C106">
        <v>16.661665800000002</v>
      </c>
      <c r="D106">
        <v>20.989324200000002</v>
      </c>
      <c r="E106">
        <v>1.3262599469496019</v>
      </c>
      <c r="F106">
        <v>1.3262599469496019</v>
      </c>
    </row>
    <row r="107" spans="1:6" x14ac:dyDescent="0.35">
      <c r="B107">
        <v>300</v>
      </c>
      <c r="C107">
        <v>6.5049088000000008</v>
      </c>
      <c r="D107">
        <v>7.7880660000000024</v>
      </c>
      <c r="E107">
        <v>1.3262599469496019</v>
      </c>
      <c r="F107">
        <v>1.3262599469496019</v>
      </c>
    </row>
    <row r="108" spans="1:6" x14ac:dyDescent="0.35">
      <c r="B108">
        <v>500</v>
      </c>
      <c r="C108">
        <v>6.3533849600000014</v>
      </c>
      <c r="D108">
        <v>7.8927212000000013</v>
      </c>
      <c r="E108">
        <v>1.3262599469496019</v>
      </c>
      <c r="F108">
        <v>1.3262599469496019</v>
      </c>
    </row>
    <row r="109" spans="1:6" x14ac:dyDescent="0.35">
      <c r="B109">
        <v>700</v>
      </c>
      <c r="C109">
        <v>6.2608540800000023</v>
      </c>
      <c r="D109">
        <v>8.4608602000000008</v>
      </c>
      <c r="E109">
        <v>1.3262599469496019</v>
      </c>
      <c r="F109">
        <v>1.3262599469496019</v>
      </c>
    </row>
    <row r="110" spans="1:6" x14ac:dyDescent="0.35">
      <c r="B110">
        <v>800</v>
      </c>
      <c r="C110">
        <v>6.2578380800000017</v>
      </c>
      <c r="D110">
        <v>8.6488324000000016</v>
      </c>
      <c r="E110">
        <v>1.3262599469496019</v>
      </c>
      <c r="F110">
        <v>1.3262599469496019</v>
      </c>
    </row>
    <row r="111" spans="1:6" x14ac:dyDescent="0.35">
      <c r="B111">
        <v>900</v>
      </c>
      <c r="C111">
        <v>6.2251446400000008</v>
      </c>
      <c r="D111">
        <v>8.5776548000000012</v>
      </c>
      <c r="E111">
        <v>1.3262599469496019</v>
      </c>
      <c r="F111">
        <v>1.3262599469496019</v>
      </c>
    </row>
    <row r="112" spans="1:6" x14ac:dyDescent="0.35">
      <c r="B112">
        <v>1800</v>
      </c>
      <c r="C112">
        <v>6.0780844800000011</v>
      </c>
      <c r="D112">
        <v>6.7059252000000003</v>
      </c>
      <c r="E112">
        <v>1.3262599469496019</v>
      </c>
      <c r="F112">
        <v>1.3262599469496019</v>
      </c>
    </row>
    <row r="113" spans="1:6" x14ac:dyDescent="0.35">
      <c r="B113">
        <v>2100</v>
      </c>
      <c r="C113">
        <v>6.0889345400000012</v>
      </c>
      <c r="D113">
        <v>6.0330933000000009</v>
      </c>
      <c r="E113">
        <v>1.3262599469496019</v>
      </c>
      <c r="F113">
        <v>1.3262599469496019</v>
      </c>
    </row>
    <row r="114" spans="1:6" x14ac:dyDescent="0.35">
      <c r="B114">
        <v>2450</v>
      </c>
      <c r="C114">
        <v>5.6316863200000009</v>
      </c>
      <c r="D114">
        <v>5.3449552000000011</v>
      </c>
      <c r="E114">
        <v>1.3262599469496019</v>
      </c>
      <c r="F114">
        <v>1.3262599469496019</v>
      </c>
    </row>
    <row r="115" spans="1:6" x14ac:dyDescent="0.35">
      <c r="B115">
        <v>2600</v>
      </c>
      <c r="C115">
        <v>5.5217983600000018</v>
      </c>
      <c r="D115">
        <v>5.1634824800000008</v>
      </c>
      <c r="E115">
        <v>1.3262599469496019</v>
      </c>
      <c r="F115">
        <v>1.3262599469496019</v>
      </c>
    </row>
    <row r="116" spans="1:6" x14ac:dyDescent="0.35">
      <c r="B116">
        <v>3500</v>
      </c>
      <c r="C116">
        <v>4.7048846000000015</v>
      </c>
      <c r="D116">
        <v>4.532829340000001</v>
      </c>
      <c r="E116">
        <v>1.3262599469496019</v>
      </c>
      <c r="F116">
        <v>1.3262599469496019</v>
      </c>
    </row>
    <row r="117" spans="1:6" x14ac:dyDescent="0.35">
      <c r="B117">
        <v>5000</v>
      </c>
      <c r="C117">
        <v>3.6327946200000003</v>
      </c>
      <c r="D117">
        <v>3.9039104000000009</v>
      </c>
      <c r="E117">
        <v>1.3262599469496019</v>
      </c>
      <c r="F117">
        <v>1.3262599469496019</v>
      </c>
    </row>
    <row r="119" spans="1:6" x14ac:dyDescent="0.35">
      <c r="A119" t="s">
        <v>15</v>
      </c>
      <c r="B119">
        <v>100</v>
      </c>
      <c r="C119">
        <v>3.5534285800000003</v>
      </c>
      <c r="D119">
        <v>3.5250027800000003</v>
      </c>
      <c r="E119">
        <v>1.3262599469496019</v>
      </c>
      <c r="F119">
        <v>1.3262599469496019</v>
      </c>
    </row>
    <row r="120" spans="1:6" x14ac:dyDescent="0.35">
      <c r="B120">
        <v>300</v>
      </c>
      <c r="C120">
        <v>4.945455840000001</v>
      </c>
      <c r="D120">
        <v>5.8297319600000019</v>
      </c>
      <c r="E120">
        <v>1.3262599469496019</v>
      </c>
      <c r="F120">
        <v>1.3262599469496019</v>
      </c>
    </row>
    <row r="121" spans="1:6" x14ac:dyDescent="0.35">
      <c r="B121">
        <v>500</v>
      </c>
      <c r="C121">
        <v>5.7131484800000019</v>
      </c>
      <c r="D121">
        <v>6.8655319200000005</v>
      </c>
      <c r="E121">
        <v>1.3262599469496019</v>
      </c>
      <c r="F121">
        <v>1.3262599469496019</v>
      </c>
    </row>
    <row r="122" spans="1:6" x14ac:dyDescent="0.35">
      <c r="B122">
        <v>700</v>
      </c>
      <c r="C122">
        <v>6.1602554000000005</v>
      </c>
      <c r="D122">
        <v>7.5924030000000018</v>
      </c>
      <c r="E122">
        <v>1.3262599469496019</v>
      </c>
      <c r="F122">
        <v>1.3262599469496019</v>
      </c>
    </row>
    <row r="123" spans="1:6" x14ac:dyDescent="0.35">
      <c r="B123">
        <v>800</v>
      </c>
      <c r="C123">
        <v>6.133118940000001</v>
      </c>
      <c r="D123">
        <v>7.6080108000000024</v>
      </c>
      <c r="E123">
        <v>1.3262599469496019</v>
      </c>
      <c r="F123">
        <v>1.3262599469496019</v>
      </c>
    </row>
    <row r="124" spans="1:6" x14ac:dyDescent="0.35">
      <c r="B124">
        <v>900</v>
      </c>
      <c r="C124">
        <v>6.1787887200000018</v>
      </c>
      <c r="D124">
        <v>7.671120600000001</v>
      </c>
      <c r="E124">
        <v>1.3262599469496019</v>
      </c>
      <c r="F124">
        <v>1.3262599469496019</v>
      </c>
    </row>
    <row r="125" spans="1:6" x14ac:dyDescent="0.35">
      <c r="B125">
        <v>1800</v>
      </c>
      <c r="C125">
        <v>6.5734021600000005</v>
      </c>
      <c r="D125">
        <v>6.8587233000000012</v>
      </c>
      <c r="E125">
        <v>1.3262599469496019</v>
      </c>
      <c r="F125">
        <v>1.3262599469496019</v>
      </c>
    </row>
    <row r="126" spans="1:6" x14ac:dyDescent="0.35">
      <c r="B126">
        <v>2100</v>
      </c>
      <c r="C126">
        <v>6.5038909000000018</v>
      </c>
      <c r="D126">
        <v>6.3051214200000016</v>
      </c>
      <c r="E126">
        <v>1.3262599469496019</v>
      </c>
      <c r="F126">
        <v>1.3262599469496019</v>
      </c>
    </row>
    <row r="127" spans="1:6" x14ac:dyDescent="0.35">
      <c r="B127">
        <v>2450</v>
      </c>
      <c r="C127">
        <v>6.1563647600000015</v>
      </c>
      <c r="D127">
        <v>5.7669916200000007</v>
      </c>
      <c r="E127">
        <v>1.3262599469496019</v>
      </c>
      <c r="F127">
        <v>1.3262599469496019</v>
      </c>
    </row>
    <row r="128" spans="1:6" x14ac:dyDescent="0.35">
      <c r="B128">
        <v>2600</v>
      </c>
      <c r="C128">
        <v>6.0783483800000022</v>
      </c>
      <c r="D128">
        <v>5.6164178200000014</v>
      </c>
      <c r="E128">
        <v>1.3262599469496019</v>
      </c>
      <c r="F128">
        <v>1.3262599469496019</v>
      </c>
    </row>
    <row r="129" spans="1:6" x14ac:dyDescent="0.35">
      <c r="B129">
        <v>3500</v>
      </c>
      <c r="C129">
        <v>5.2734458400000008</v>
      </c>
      <c r="D129">
        <v>5.0472006000000009</v>
      </c>
      <c r="E129">
        <v>1.3262599469496019</v>
      </c>
      <c r="F129">
        <v>1.3262599469496019</v>
      </c>
    </row>
    <row r="130" spans="1:6" x14ac:dyDescent="0.35">
      <c r="B130">
        <v>5000</v>
      </c>
      <c r="C130">
        <v>4.2307694000000016</v>
      </c>
      <c r="D130">
        <v>4.6400406000000007</v>
      </c>
      <c r="E130">
        <v>1.3262599469496019</v>
      </c>
      <c r="F130">
        <v>1.3262599469496019</v>
      </c>
    </row>
    <row r="132" spans="1:6" x14ac:dyDescent="0.35">
      <c r="A132" t="s">
        <v>16</v>
      </c>
      <c r="B132">
        <v>100</v>
      </c>
      <c r="C132">
        <v>18.482274200000003</v>
      </c>
      <c r="D132">
        <v>23.645440000000004</v>
      </c>
      <c r="E132">
        <v>1.3262599469496019</v>
      </c>
      <c r="F132">
        <v>1.3262599469496019</v>
      </c>
    </row>
    <row r="133" spans="1:6" x14ac:dyDescent="0.35">
      <c r="B133">
        <v>300</v>
      </c>
      <c r="C133">
        <v>5.9538780600000019</v>
      </c>
      <c r="D133">
        <v>7.2148375000000025</v>
      </c>
      <c r="E133">
        <v>1.3262599469496019</v>
      </c>
      <c r="F133">
        <v>1.3262599469496019</v>
      </c>
    </row>
    <row r="134" spans="1:6" x14ac:dyDescent="0.35">
      <c r="B134">
        <v>500</v>
      </c>
      <c r="C134">
        <v>4.4234842600000004</v>
      </c>
      <c r="D134">
        <v>5.0650327000000015</v>
      </c>
      <c r="E134">
        <v>1.3262599469496019</v>
      </c>
      <c r="F134">
        <v>1.3262599469496019</v>
      </c>
    </row>
    <row r="135" spans="1:6" x14ac:dyDescent="0.35">
      <c r="B135">
        <v>700</v>
      </c>
      <c r="C135">
        <v>3.8555186800000008</v>
      </c>
      <c r="D135">
        <v>4.8937465200000014</v>
      </c>
      <c r="E135">
        <v>1.3262599469496019</v>
      </c>
      <c r="F135">
        <v>1.3262599469496019</v>
      </c>
    </row>
    <row r="136" spans="1:6" x14ac:dyDescent="0.35">
      <c r="B136">
        <v>800</v>
      </c>
      <c r="C136">
        <v>3.7202058400000007</v>
      </c>
      <c r="D136">
        <v>4.7139552200000008</v>
      </c>
      <c r="E136">
        <v>1.3262599469496019</v>
      </c>
      <c r="F136">
        <v>1.3262599469496019</v>
      </c>
    </row>
    <row r="137" spans="1:6" x14ac:dyDescent="0.35">
      <c r="B137">
        <v>900</v>
      </c>
      <c r="C137">
        <v>3.5849533200000003</v>
      </c>
      <c r="D137">
        <v>4.6397842400000018</v>
      </c>
      <c r="E137">
        <v>1.3262599469496019</v>
      </c>
      <c r="F137">
        <v>1.3262599469496019</v>
      </c>
    </row>
    <row r="138" spans="1:6" x14ac:dyDescent="0.35">
      <c r="B138">
        <v>1800</v>
      </c>
      <c r="C138">
        <v>3.0221903400000003</v>
      </c>
      <c r="D138">
        <v>3.5411006800000009</v>
      </c>
      <c r="E138">
        <v>1.3262599469496019</v>
      </c>
      <c r="F138">
        <v>1.3262599469496019</v>
      </c>
    </row>
    <row r="139" spans="1:6" x14ac:dyDescent="0.35">
      <c r="B139">
        <v>2100</v>
      </c>
      <c r="C139">
        <v>2.9213428400000003</v>
      </c>
      <c r="D139">
        <v>3.1666265800000004</v>
      </c>
      <c r="E139">
        <v>1.3262599469496019</v>
      </c>
      <c r="F139">
        <v>1.3262599469496019</v>
      </c>
    </row>
    <row r="140" spans="1:6" x14ac:dyDescent="0.35">
      <c r="B140">
        <v>2450</v>
      </c>
      <c r="C140">
        <v>2.6612807000000003</v>
      </c>
      <c r="D140">
        <v>2.7176648200000004</v>
      </c>
      <c r="E140">
        <v>1.3262599469496019</v>
      </c>
      <c r="F140">
        <v>1.3262599469496019</v>
      </c>
    </row>
    <row r="141" spans="1:6" x14ac:dyDescent="0.35">
      <c r="B141">
        <v>2600</v>
      </c>
      <c r="C141">
        <v>2.5836413200000004</v>
      </c>
      <c r="D141">
        <v>2.5757167800000005</v>
      </c>
      <c r="E141">
        <v>1.3262599469496019</v>
      </c>
      <c r="F141">
        <v>1.3262599469496019</v>
      </c>
    </row>
    <row r="142" spans="1:6" x14ac:dyDescent="0.35">
      <c r="B142">
        <v>3500</v>
      </c>
      <c r="C142">
        <v>2.0848100000000009</v>
      </c>
      <c r="D142">
        <v>2.0833321600000003</v>
      </c>
      <c r="E142">
        <v>1.3262599469496019</v>
      </c>
      <c r="F142">
        <v>1.3262599469496019</v>
      </c>
    </row>
    <row r="143" spans="1:6" x14ac:dyDescent="0.35">
      <c r="B143">
        <v>5000</v>
      </c>
      <c r="C143">
        <v>1.5633360600000004</v>
      </c>
      <c r="D143">
        <v>1.7401867600000001</v>
      </c>
      <c r="E143">
        <v>1.3262599469496019</v>
      </c>
      <c r="F143">
        <v>1.3262599469496019</v>
      </c>
    </row>
    <row r="145" spans="1:6" x14ac:dyDescent="0.35">
      <c r="A145" t="s">
        <v>17</v>
      </c>
      <c r="B145">
        <v>100</v>
      </c>
      <c r="C145">
        <v>1.2353460600000001</v>
      </c>
      <c r="D145">
        <v>1.0335530400000004</v>
      </c>
      <c r="E145">
        <v>1.3262599469496019</v>
      </c>
      <c r="F145">
        <v>1.3262599469496019</v>
      </c>
    </row>
    <row r="146" spans="1:6" x14ac:dyDescent="0.35">
      <c r="B146">
        <v>300</v>
      </c>
      <c r="C146">
        <v>3.8662179400000003</v>
      </c>
      <c r="D146">
        <v>4.6684664000000016</v>
      </c>
      <c r="E146">
        <v>1.3262599469496019</v>
      </c>
      <c r="F146">
        <v>1.3262599469496019</v>
      </c>
    </row>
    <row r="147" spans="1:6" x14ac:dyDescent="0.35">
      <c r="B147">
        <v>500</v>
      </c>
      <c r="C147">
        <v>5.9946996200000013</v>
      </c>
      <c r="D147">
        <v>7.0145977200000011</v>
      </c>
      <c r="E147">
        <v>1.3262599469496019</v>
      </c>
      <c r="F147">
        <v>1.3262599469496019</v>
      </c>
    </row>
    <row r="148" spans="1:6" x14ac:dyDescent="0.35">
      <c r="B148">
        <v>700</v>
      </c>
      <c r="C148">
        <v>5.4360761000000011</v>
      </c>
      <c r="D148">
        <v>6.2733704800000014</v>
      </c>
      <c r="E148">
        <v>1.3262599469496019</v>
      </c>
      <c r="F148">
        <v>1.3262599469496019</v>
      </c>
    </row>
    <row r="149" spans="1:6" x14ac:dyDescent="0.35">
      <c r="B149">
        <v>800</v>
      </c>
      <c r="C149">
        <v>5.2856757200000004</v>
      </c>
      <c r="D149">
        <v>6.2552744800000015</v>
      </c>
      <c r="E149">
        <v>1.3262599469496019</v>
      </c>
      <c r="F149">
        <v>1.3262599469496019</v>
      </c>
    </row>
    <row r="150" spans="1:6" x14ac:dyDescent="0.35">
      <c r="B150">
        <v>900</v>
      </c>
      <c r="C150">
        <v>5.0441921400000016</v>
      </c>
      <c r="D150">
        <v>6.1097223200000021</v>
      </c>
      <c r="E150">
        <v>1.3262599469496019</v>
      </c>
      <c r="F150">
        <v>1.3262599469496019</v>
      </c>
    </row>
    <row r="151" spans="1:6" x14ac:dyDescent="0.35">
      <c r="B151">
        <v>1800</v>
      </c>
      <c r="C151">
        <v>4.3187159600000005</v>
      </c>
      <c r="D151">
        <v>4.6987018000000011</v>
      </c>
      <c r="E151">
        <v>1.3262599469496019</v>
      </c>
      <c r="F151">
        <v>1.3262599469496019</v>
      </c>
    </row>
    <row r="152" spans="1:6" x14ac:dyDescent="0.35">
      <c r="B152">
        <v>2100</v>
      </c>
      <c r="C152">
        <v>4.1744908400000016</v>
      </c>
      <c r="D152">
        <v>4.2940526200000004</v>
      </c>
      <c r="E152">
        <v>1.3262599469496019</v>
      </c>
      <c r="F152">
        <v>1.3262599469496019</v>
      </c>
    </row>
    <row r="153" spans="1:6" x14ac:dyDescent="0.35">
      <c r="B153">
        <v>2450</v>
      </c>
      <c r="C153">
        <v>3.8863195800000012</v>
      </c>
      <c r="D153">
        <v>3.8131288000000003</v>
      </c>
      <c r="E153">
        <v>1.3262599469496019</v>
      </c>
      <c r="F153">
        <v>1.3262599469496019</v>
      </c>
    </row>
    <row r="154" spans="1:6" x14ac:dyDescent="0.35">
      <c r="B154">
        <v>2600</v>
      </c>
      <c r="C154">
        <v>3.7916473400000004</v>
      </c>
      <c r="D154">
        <v>3.6690318600000009</v>
      </c>
      <c r="E154">
        <v>1.3262599469496019</v>
      </c>
      <c r="F154">
        <v>1.3262599469496019</v>
      </c>
    </row>
    <row r="155" spans="1:6" x14ac:dyDescent="0.35">
      <c r="B155">
        <v>3500</v>
      </c>
      <c r="C155">
        <v>3.1679687000000003</v>
      </c>
      <c r="D155">
        <v>3.197133420000001</v>
      </c>
      <c r="E155">
        <v>1.3262599469496019</v>
      </c>
      <c r="F155">
        <v>1.3262599469496019</v>
      </c>
    </row>
    <row r="156" spans="1:6" x14ac:dyDescent="0.35">
      <c r="B156">
        <v>5000</v>
      </c>
      <c r="C156">
        <v>2.5500657000000007</v>
      </c>
      <c r="D156">
        <v>2.8270777600000003</v>
      </c>
      <c r="E156">
        <v>1.3262599469496019</v>
      </c>
      <c r="F156">
        <v>1.3262599469496019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Costa, Giovanni</dc:creator>
  <cp:lastModifiedBy>Nicolas Loizeau</cp:lastModifiedBy>
  <dcterms:created xsi:type="dcterms:W3CDTF">2026-05-28T23:23:18Z</dcterms:created>
  <dcterms:modified xsi:type="dcterms:W3CDTF">2026-08-10T11:53:50Z</dcterms:modified>
</cp:coreProperties>
</file>