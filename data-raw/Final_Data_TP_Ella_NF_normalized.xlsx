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180" tabRatio="500" firstSheet="0" activeTab="5" autoFilterDateGrouping="1"/>
  </bookViews>
  <sheets>
    <sheet xmlns:r="http://schemas.openxmlformats.org/officeDocument/2006/relationships" name="Ella_front" sheetId="1" state="visible" r:id="rId1"/>
    <sheet xmlns:r="http://schemas.openxmlformats.org/officeDocument/2006/relationships" name="Ella_front_normalized" sheetId="2" state="visible" r:id="rId2"/>
    <sheet xmlns:r="http://schemas.openxmlformats.org/officeDocument/2006/relationships" name="Ella_belly" sheetId="3" state="visible" r:id="rId3"/>
    <sheet xmlns:r="http://schemas.openxmlformats.org/officeDocument/2006/relationships" name="Ella_belly_normalized" sheetId="4" state="visible" r:id="rId4"/>
    <sheet xmlns:r="http://schemas.openxmlformats.org/officeDocument/2006/relationships" name="Ella_ ear" sheetId="5" state="visible" r:id="rId5"/>
    <sheet xmlns:r="http://schemas.openxmlformats.org/officeDocument/2006/relationships" name="Ella_ ear_normalized" sheetId="6" state="visible" r:id="rId6"/>
  </sheets>
  <definedNames>
    <definedName name="DatiEsterni_2" localSheetId="0" hidden="1">Ella_front!#REF!</definedName>
    <definedName name="DatiEsterni_3" localSheetId="0" hidden="1">Ella_front!$A$1:$F$65</definedName>
    <definedName name="DatiEsterni_2" localSheetId="1" hidden="1">Ella_front_normalized!#REF!</definedName>
    <definedName name="DatiEsterni_3" localSheetId="1" hidden="1">Ella_front_normalized!$A$1:$F$65</definedName>
    <definedName name="DatiEsterni_2" localSheetId="2" hidden="1">Ella_belly!#REF!</definedName>
    <definedName name="DatiEsterni_2" localSheetId="3" hidden="1">Ella_belly_normalized!#REF!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Aptos Narrow"/>
      <charset val="1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FFFF9999"/>
        <bgColor rgb="FFFF8080"/>
      </patternFill>
    </fill>
    <fill>
      <patternFill patternType="solid">
        <fgColor rgb="FFFFDDDD"/>
        <bgColor rgb="FFFFFFCC"/>
      </patternFill>
    </fill>
    <fill>
      <patternFill patternType="solid">
        <fgColor rgb="FFFF9999"/>
        <bgColor indexed="64"/>
      </patternFill>
    </fill>
    <fill>
      <patternFill patternType="solid">
        <fgColor rgb="FFFFDDDD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thin">
        <color theme="5" tint="0.3999755851924192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  <border>
      <left/>
      <right/>
      <top style="thin">
        <color theme="5" tint="0.3999755851924192"/>
      </top>
      <bottom style="medium">
        <color indexed="64"/>
      </bottom>
      <diagonal/>
    </border>
    <border>
      <left style="thin">
        <color theme="5" tint="0.3999450666829432"/>
      </left>
      <right style="thin">
        <color theme="5" tint="0.3999450666829432"/>
      </right>
      <top style="medium">
        <color indexed="64"/>
      </top>
      <bottom style="thin">
        <color theme="5" tint="0.3999755851924192"/>
      </bottom>
      <diagonal/>
    </border>
    <border>
      <left style="thin">
        <color theme="5" tint="0.3999450666829432"/>
      </left>
      <right style="thin">
        <color theme="5" tint="0.3999450666829432"/>
      </right>
      <top style="thin">
        <color theme="5" tint="0.3999755851924192"/>
      </top>
      <bottom style="thin">
        <color theme="5" tint="0.3999755851924192"/>
      </bottom>
      <diagonal/>
    </border>
    <border>
      <left style="thin">
        <color theme="5" tint="0.3999450666829432"/>
      </left>
      <right style="thin">
        <color theme="5" tint="0.3999450666829432"/>
      </right>
      <top style="thin">
        <color theme="5" tint="0.399975585192419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5" tint="0.3999755851924192"/>
      </bottom>
      <diagonal/>
    </border>
    <border>
      <left/>
      <right style="medium">
        <color indexed="64"/>
      </right>
      <top style="thin">
        <color theme="5" tint="0.3999755851924192"/>
      </top>
      <bottom style="thin">
        <color theme="5" tint="0.3999755851924192"/>
      </bottom>
      <diagonal/>
    </border>
    <border>
      <left/>
      <right style="medium">
        <color indexed="64"/>
      </right>
      <top style="thin">
        <color theme="5" tint="0.3999755851924192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2" fontId="0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 wrapText="1"/>
    </xf>
    <xf numFmtId="2" fontId="0" fillId="2" borderId="0" applyAlignment="1" pivotButton="0" quotePrefix="0" xfId="0">
      <alignment horizontal="center" wrapText="1"/>
    </xf>
    <xf numFmtId="2" fontId="0" fillId="4" borderId="0" applyAlignment="1" pivotButton="0" quotePrefix="0" xfId="0">
      <alignment horizontal="center" wrapText="1"/>
    </xf>
    <xf numFmtId="0" fontId="0" fillId="3" borderId="1" applyAlignment="1" pivotButton="0" quotePrefix="0" xfId="0">
      <alignment horizontal="center" wrapText="1"/>
    </xf>
    <xf numFmtId="164" fontId="0" fillId="3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 wrapText="1"/>
    </xf>
    <xf numFmtId="164" fontId="0" fillId="3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/>
    </xf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11" fontId="0" fillId="5" borderId="1" applyAlignment="1" pivotButton="0" quotePrefix="0" xfId="0">
      <alignment horizontal="center"/>
    </xf>
    <xf numFmtId="11" fontId="0" fillId="0" borderId="0" applyAlignment="1" pivotButton="0" quotePrefix="0" xfId="0">
      <alignment horizontal="center"/>
    </xf>
    <xf numFmtId="11" fontId="0" fillId="5" borderId="0" applyAlignment="1" pivotButton="0" quotePrefix="0" xfId="0">
      <alignment horizontal="center"/>
    </xf>
    <xf numFmtId="11" fontId="0" fillId="0" borderId="2" applyAlignment="1" pivotButton="0" quotePrefix="0" xfId="0">
      <alignment horizont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1" fontId="0" fillId="5" borderId="4" applyAlignment="1" pivotButton="0" quotePrefix="0" xfId="0">
      <alignment horizontal="center" vertical="center"/>
    </xf>
    <xf numFmtId="11" fontId="0" fillId="5" borderId="3" applyAlignment="1" pivotButton="0" quotePrefix="0" xfId="0">
      <alignment horizontal="center" vertical="center"/>
    </xf>
    <xf numFmtId="11" fontId="0" fillId="0" borderId="4" applyAlignment="1" pivotButton="0" quotePrefix="0" xfId="0">
      <alignment horizontal="center" vertical="center"/>
    </xf>
    <xf numFmtId="11" fontId="0" fillId="0" borderId="5" applyAlignment="1" pivotButton="0" quotePrefix="0" xfId="0">
      <alignment horizontal="center" vertical="center"/>
    </xf>
    <xf numFmtId="0" fontId="0" fillId="5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5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5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5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11" fontId="0" fillId="5" borderId="12" applyAlignment="1" pivotButton="0" quotePrefix="0" xfId="0">
      <alignment horizontal="center" vertical="center"/>
    </xf>
    <xf numFmtId="11" fontId="0" fillId="0" borderId="13" applyAlignment="1" pivotButton="0" quotePrefix="0" xfId="0">
      <alignment horizontal="center" vertical="center"/>
    </xf>
    <xf numFmtId="11" fontId="0" fillId="5" borderId="13" applyAlignment="1" pivotButton="0" quotePrefix="0" xfId="0">
      <alignment horizontal="center" vertical="center"/>
    </xf>
    <xf numFmtId="11" fontId="0" fillId="0" borderId="14" applyAlignment="1" pivotButton="0" quotePrefix="0" xfId="0">
      <alignment horizontal="center" vertical="center"/>
    </xf>
  </cellXfs>
  <cellStyles count="1">
    <cellStyle name="Normale" xfId="0" builtinId="0"/>
  </cellStyles>
  <dxfs count="35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5" formatCode="0.00E+00"/>
      <alignment horizontal="center" vertical="center"/>
      <border>
        <left/>
        <right/>
        <top style="thin">
          <color theme="5" tint="0.3999755851924192"/>
        </top>
        <bottom style="thin">
          <color theme="5" tint="0.3999755851924192"/>
        </bottom>
        <vertical/>
        <horizontal/>
      </border>
    </dxf>
    <dxf>
      <numFmt numFmtId="164" formatCode="0.0000"/>
      <alignment horizontal="center" vertical="center"/>
      <border>
        <left style="thin">
          <color theme="5" tint="0.3999450666829432"/>
        </left>
        <right style="thin">
          <color theme="5" tint="0.3999450666829432"/>
        </right>
        <top style="thin">
          <color theme="5" tint="0.3999755851924192"/>
        </top>
        <bottom style="thin">
          <color theme="5" tint="0.3999755851924192"/>
        </bottom>
        <vertical/>
        <horizontal/>
      </border>
    </dxf>
    <dxf>
      <numFmt numFmtId="164" formatCode="0.0000"/>
      <alignment horizontal="center" vertical="center"/>
      <border>
        <left style="thin">
          <color theme="5" tint="0.3999755851924192"/>
        </left>
        <right/>
        <top style="thin">
          <color theme="5" tint="0.3999755851924192"/>
        </top>
        <bottom style="thin">
          <color theme="5" tint="0.3999755851924192"/>
        </bottom>
        <vertical/>
        <horizontal/>
      </border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164" formatCode="0.0000"/>
      <alignment horizontal="center" vertical="center"/>
    </dxf>
    <dxf>
      <alignment horizontal="center"/>
    </dxf>
    <dxf>
      <alignment horizontal="center"/>
    </dxf>
    <dxf>
      <numFmt numFmtId="164" formatCode="0.0000"/>
      <alignment horizontal="center"/>
    </dxf>
    <dxf>
      <numFmt numFmtId="164" formatCode="0.0000"/>
      <alignment horizontal="center"/>
    </dxf>
    <dxf>
      <numFmt numFmtId="164" formatCode="0.0000"/>
      <alignment horizontal="center"/>
    </dxf>
    <dxf>
      <numFmt numFmtId="164" formatCode="0.0000"/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numFmt numFmtId="164" formatCode="0.0000"/>
      <alignment vertical="bottom"/>
    </dxf>
    <dxf>
      <numFmt numFmtId="164" formatCode="0.0000"/>
      <alignment vertical="bottom"/>
    </dxf>
    <dxf>
      <numFmt numFmtId="164" formatCode="0.0000"/>
      <alignment vertical="bottom"/>
    </dxf>
    <dxf>
      <numFmt numFmtId="164" formatCode="0.0000"/>
      <alignment vertical="bottom"/>
    </dxf>
    <dxf>
      <alignment vertical="bottom"/>
    </dxf>
    <dxf>
      <alignment vertical="bottom"/>
    </dxf>
    <dxf>
      <alignment vertical="bottom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DD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normalized_results_detailed3834" displayName="normalized_results_detailed3834" ref="A1:G65" headerRowCount="1" totalsRowShown="0" headerRowDxfId="23" dataDxfId="22">
  <tableColumns count="7">
    <tableColumn id="1" name="frequency_MHz" dataDxfId="30"/>
    <tableColumn id="2" name="placement" dataDxfId="29"/>
    <tableColumn id="3" name="Input Power  (mW)" dataDxfId="28"/>
    <tableColumn id="4" name="SAR_wholebody (mW/kg)" dataDxfId="27"/>
    <tableColumn id="5" name="SAR_head (mW/kg)" dataDxfId="26"/>
    <tableColumn id="6" name="SAR_trunk (mW/kg)" dataDxfId="25"/>
    <tableColumn id="7" name="SAR averagedbrain(mW/kg)" dataDxfId="2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normalized_results_detailed38345" displayName="normalized_results_detailed38345" ref="A1:J65" headerRowCount="1" totalsRowShown="0" headerRowDxfId="14" dataDxfId="13">
  <tableColumns count="10">
    <tableColumn id="1" name="frequency_MHz" dataDxfId="21"/>
    <tableColumn id="2" name="placement" dataDxfId="20"/>
    <tableColumn id="3" name="Input Power  (W)" dataDxfId="19"/>
    <tableColumn id="4" name="SAR_wholebody (mW/kg)" dataDxfId="18"/>
    <tableColumn id="5" name="SAR_head (mW/kg)" dataDxfId="17"/>
    <tableColumn id="6" name="SAR_trunk (mW/kg)" dataDxfId="16"/>
    <tableColumn id="7" name="SAR averagedbrain(mW/kg)" dataDxfId="15"/>
    <tableColumn id="8" name="psSAR10g_eyes  (mW/kg)" dataDxfId="12">
      <calculatedColumnFormula>Ella_front!H2*10^3/normalized_results_detailed3834[[#This Row],[Input Power  (mW)]]</calculatedColumnFormula>
    </tableColumn>
    <tableColumn id="9" name="psSAR10g_skin (mW/kg)" dataDxfId="11">
      <calculatedColumnFormula>Ella_front!I2*10^3/normalized_results_detailed3834[[#This Row],[Input Power  (mW)]]</calculatedColumnFormula>
    </tableColumn>
    <tableColumn id="10" name="psSAR10g_brain (mW/kg)" dataDxfId="10">
      <calculatedColumnFormula>Ella_front!J2*10^3/normalized_results_detailed3834[[#This Row],[Input Power  (mW)]]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ella5" displayName="Tabella5" ref="A1:J49" headerRowCount="1" totalsRowShown="0">
  <tableColumns count="10">
    <tableColumn id="1" name="frequency_MHz"/>
    <tableColumn id="2" name="placement"/>
    <tableColumn id="3" name="Input Power  (mW)"/>
    <tableColumn id="4" name="SAR_wholebody (mW/kg)" dataDxfId="6"/>
    <tableColumn id="5" name="SAR_head (mW/kg)" dataDxfId="5"/>
    <tableColumn id="6" name="SAR_trunk (mW/kg)" dataDxfId="4"/>
    <tableColumn id="7" name="SAR averagedbrain(mW/kg)" dataDxfId="3"/>
    <tableColumn id="8" name="psSAR10g_eyes  (mW/kg)" dataDxfId="9"/>
    <tableColumn id="9" name="psSAR10g_skin (mW/kg)" dataDxfId="8"/>
    <tableColumn id="10" name="psSAR10g_brain (mW/kg)" dataDxfId="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ella57" displayName="Tabella57" ref="A1:J49" headerRowCount="1" totalsRowShown="0">
  <tableColumns count="10">
    <tableColumn id="1" name="frequency_MHz"/>
    <tableColumn id="2" name="placement"/>
    <tableColumn id="3" name="Input Power  (W)"/>
    <tableColumn id="4" name="SAR_wholebody (mW/kg)" dataDxfId="34"/>
    <tableColumn id="5" name="SAR_head (mW/kg)" dataDxfId="33"/>
    <tableColumn id="6" name="SAR_trunk (mW/kg)" dataDxfId="32"/>
    <tableColumn id="7" name="SAR averagedbrain(mW/kg)" dataDxfId="31"/>
    <tableColumn id="8" name="psSAR10g_eyes  (mW/kg)" dataDxfId="2">
      <calculatedColumnFormula>Tabella5[[#This Row],[psSAR10g_eyes  (mW/kg)]]*10^3/Tabella5[[#This Row],[Input Power  (mW)]]</calculatedColumnFormula>
    </tableColumn>
    <tableColumn id="9" name="psSAR10g_skin (mW/kg)" dataDxfId="1">
      <calculatedColumnFormula>Tabella5[[#This Row],[psSAR10g_skin (mW/kg)]]*10^3/Tabella5[[#This Row],[Input Power  (mW)]]</calculatedColumnFormula>
    </tableColumn>
    <tableColumn id="10" name="psSAR10g_brain (mW/kg)" dataDxfId="0">
      <calculatedColumnFormula>Tabella5[[#This Row],[psSAR10g_brain (mW/kg)]]*10^3/Tabella5[[#This Row],[Input Power  (mW)]]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zoomScaleNormal="248" workbookViewId="0">
      <selection activeCell="N17" sqref="N17"/>
    </sheetView>
  </sheetViews>
  <sheetFormatPr baseColWidth="10" defaultColWidth="8.6640625" defaultRowHeight="15"/>
  <cols>
    <col width="12.5" bestFit="1" customWidth="1" style="1" min="1" max="1"/>
    <col width="25" bestFit="1" customWidth="1" style="1" min="2" max="2"/>
    <col width="14.6640625" bestFit="1" customWidth="1" style="1" min="3" max="3"/>
    <col width="20" bestFit="1" customWidth="1" style="1" min="4" max="4"/>
    <col width="15.1640625" bestFit="1" customWidth="1" style="1" min="5" max="5"/>
    <col width="15.33203125" bestFit="1" customWidth="1" style="1" min="6" max="6"/>
    <col width="21" bestFit="1" customWidth="1" style="1" min="7" max="7"/>
    <col width="20" bestFit="1" customWidth="1" style="17" min="8" max="8"/>
    <col width="19.33203125" bestFit="1" customWidth="1" style="17" min="9" max="9"/>
    <col width="20" bestFit="1" customWidth="1" style="17" min="10" max="10"/>
    <col width="8.6640625" customWidth="1" style="2" min="11" max="16384"/>
  </cols>
  <sheetData>
    <row r="1" ht="16.5" customHeight="1" thickBot="1">
      <c r="A1" s="18" t="inlineStr">
        <is>
          <t>frequency_MHz</t>
        </is>
      </c>
      <c r="B1" s="18" t="inlineStr">
        <is>
          <t>placement</t>
        </is>
      </c>
      <c r="C1" s="19" t="inlineStr">
        <is>
          <t>Input Power  (mW)</t>
        </is>
      </c>
      <c r="D1" s="19" t="inlineStr">
        <is>
          <t>SAR_wholebody (mW/kg)</t>
        </is>
      </c>
      <c r="E1" s="19" t="inlineStr">
        <is>
          <t>SAR_head (mW/kg)</t>
        </is>
      </c>
      <c r="F1" s="19" t="inlineStr">
        <is>
          <t>SAR_trunk (mW/kg)</t>
        </is>
      </c>
      <c r="G1" s="19" t="inlineStr">
        <is>
          <t>SAR averagedbrain(mW/kg)</t>
        </is>
      </c>
      <c r="H1" s="19" t="inlineStr">
        <is>
          <t>psSAR10g_eyes  (mW/kg)</t>
        </is>
      </c>
      <c r="I1" s="19" t="inlineStr">
        <is>
          <t>psSAR10g_skin (mW/kg)</t>
        </is>
      </c>
      <c r="J1" s="19" t="inlineStr">
        <is>
          <t>psSAR10g_brain (mW/kg)</t>
        </is>
      </c>
    </row>
    <row r="2" ht="14.25" customHeight="1">
      <c r="A2" s="21" t="n">
        <v>700</v>
      </c>
      <c r="B2" s="21" t="inlineStr">
        <is>
          <t>front_of_eyes_center_vertical</t>
        </is>
      </c>
      <c r="C2" s="21" t="n">
        <v>813</v>
      </c>
      <c r="D2" s="22" t="n">
        <v>0.3171</v>
      </c>
      <c r="E2" s="22" t="n">
        <v>1.263</v>
      </c>
      <c r="F2" s="22" t="n">
        <v>0.4758</v>
      </c>
      <c r="G2" s="22" t="n">
        <v>0.44996432252438</v>
      </c>
      <c r="H2" s="22" t="n">
        <v>4.256</v>
      </c>
      <c r="I2" s="22" t="n">
        <v>14.67</v>
      </c>
      <c r="J2" s="22" t="n">
        <v>0.9262</v>
      </c>
    </row>
    <row r="3" ht="15.75" customHeight="1">
      <c r="A3" s="1" t="n">
        <v>700</v>
      </c>
      <c r="B3" s="1" t="inlineStr">
        <is>
          <t>front_of_eyes_center_horizontal</t>
        </is>
      </c>
      <c r="C3" s="1" t="n">
        <v>813</v>
      </c>
      <c r="D3" s="24" t="n">
        <v>0.2973</v>
      </c>
      <c r="E3" s="24" t="n">
        <v>1.372</v>
      </c>
      <c r="F3" s="24" t="n">
        <v>0.3812</v>
      </c>
      <c r="G3" s="24" t="n">
        <v>1.06465742574257</v>
      </c>
      <c r="H3" s="24" t="n">
        <v>5.273</v>
      </c>
      <c r="I3" s="24" t="n">
        <v>5.743</v>
      </c>
      <c r="J3" s="24" t="n">
        <v>1.886</v>
      </c>
    </row>
    <row r="4" ht="15.75" customHeight="1">
      <c r="A4" s="25" t="n">
        <v>700</v>
      </c>
      <c r="B4" s="25" t="inlineStr">
        <is>
          <t>front_of_eyes_left_vertical</t>
        </is>
      </c>
      <c r="C4" s="25" t="n">
        <v>813</v>
      </c>
      <c r="D4" s="26" t="n">
        <v>0.3183</v>
      </c>
      <c r="E4" s="26" t="n">
        <v>1.251</v>
      </c>
      <c r="F4" s="26" t="n">
        <v>0.4785</v>
      </c>
      <c r="G4" s="26" t="n">
        <v>0.434227016736734</v>
      </c>
      <c r="H4" s="26" t="n">
        <v>3.769</v>
      </c>
      <c r="I4" s="26" t="n">
        <v>14.88</v>
      </c>
      <c r="J4" s="26" t="n">
        <v>0.9353</v>
      </c>
    </row>
    <row r="5" ht="15.75" customHeight="1">
      <c r="A5" s="1" t="n">
        <v>700</v>
      </c>
      <c r="B5" s="1" t="inlineStr">
        <is>
          <t>front_of_eyes_left_horizontal</t>
        </is>
      </c>
      <c r="C5" s="1" t="n">
        <v>813</v>
      </c>
      <c r="D5" s="24" t="n">
        <v>0.304</v>
      </c>
      <c r="E5" s="24" t="n">
        <v>1.436</v>
      </c>
      <c r="F5" s="24" t="n">
        <v>0.3872</v>
      </c>
      <c r="G5" s="24" t="n">
        <v>1.11986046142869</v>
      </c>
      <c r="H5" s="24" t="n">
        <v>5.462</v>
      </c>
      <c r="I5" s="24" t="n">
        <v>5.73</v>
      </c>
      <c r="J5" s="24" t="n">
        <v>2</v>
      </c>
    </row>
    <row r="6" ht="15.75" customHeight="1">
      <c r="A6" s="25" t="n">
        <v>700</v>
      </c>
      <c r="B6" s="25" t="inlineStr">
        <is>
          <t>front_of_eyes_right_vertical</t>
        </is>
      </c>
      <c r="C6" s="25" t="n">
        <v>813</v>
      </c>
      <c r="D6" s="26" t="n">
        <v>0.3138</v>
      </c>
      <c r="E6" s="26" t="n">
        <v>1.254</v>
      </c>
      <c r="F6" s="26" t="n">
        <v>0.4694</v>
      </c>
      <c r="G6" s="26" t="n">
        <v>0.464122439294471</v>
      </c>
      <c r="H6" s="26" t="n">
        <v>4.894</v>
      </c>
      <c r="I6" s="26" t="n">
        <v>14.25</v>
      </c>
      <c r="J6" s="26" t="n">
        <v>0.9853</v>
      </c>
    </row>
    <row r="7" ht="15.75" customHeight="1">
      <c r="A7" s="1" t="n">
        <v>700</v>
      </c>
      <c r="B7" s="1" t="inlineStr">
        <is>
          <t>front_of_eyes_right_horizontal</t>
        </is>
      </c>
      <c r="C7" s="1" t="n">
        <v>813</v>
      </c>
      <c r="D7" s="24" t="n">
        <v>0.2874</v>
      </c>
      <c r="E7" s="24" t="n">
        <v>1.288</v>
      </c>
      <c r="F7" s="24" t="n">
        <v>0.37</v>
      </c>
      <c r="G7" s="24" t="n">
        <v>1.00126813030039</v>
      </c>
      <c r="H7" s="24" t="n">
        <v>5.036</v>
      </c>
      <c r="I7" s="24" t="n">
        <v>6.048</v>
      </c>
      <c r="J7" s="24" t="n">
        <v>1.721</v>
      </c>
    </row>
    <row r="8" ht="15.75" customHeight="1">
      <c r="A8" s="25" t="n">
        <v>700</v>
      </c>
      <c r="B8" s="25" t="inlineStr">
        <is>
          <t>front_of_eyes_down_vertical</t>
        </is>
      </c>
      <c r="C8" s="25" t="n">
        <v>813</v>
      </c>
      <c r="D8" s="26" t="n">
        <v>0.352</v>
      </c>
      <c r="E8" s="26" t="n">
        <v>0.9744</v>
      </c>
      <c r="F8" s="26" t="n">
        <v>0.5871</v>
      </c>
      <c r="G8" s="26" t="n">
        <v>0.216563688212928</v>
      </c>
      <c r="H8" s="26" t="n">
        <v>1.817</v>
      </c>
      <c r="I8" s="26" t="n">
        <v>13.91</v>
      </c>
      <c r="J8" s="26" t="n">
        <v>0.5027</v>
      </c>
    </row>
    <row r="9" ht="16.5" customHeight="1" thickBot="1">
      <c r="A9" s="28" t="n">
        <v>700</v>
      </c>
      <c r="B9" s="28" t="inlineStr">
        <is>
          <t>front_of_eyes_down_horizontal</t>
        </is>
      </c>
      <c r="C9" s="28" t="n">
        <v>813</v>
      </c>
      <c r="D9" s="29" t="n">
        <v>0.3545</v>
      </c>
      <c r="E9" s="29" t="n">
        <v>1.304</v>
      </c>
      <c r="F9" s="29" t="n">
        <v>0.5143</v>
      </c>
      <c r="G9" s="29" t="n">
        <v>0.929667458432304</v>
      </c>
      <c r="H9" s="29" t="n">
        <v>5.064</v>
      </c>
      <c r="I9" s="29" t="n">
        <v>6.311</v>
      </c>
      <c r="J9" s="29" t="n">
        <v>1.597</v>
      </c>
    </row>
    <row r="10" ht="15.75" customHeight="1">
      <c r="A10" s="21" t="n">
        <v>835</v>
      </c>
      <c r="B10" s="21" t="inlineStr">
        <is>
          <t>front_of_eyes_center_vertical</t>
        </is>
      </c>
      <c r="C10" s="21" t="n">
        <v>636.9</v>
      </c>
      <c r="D10" s="22" t="n">
        <v>0.251</v>
      </c>
      <c r="E10" s="22" t="n">
        <v>0.9205</v>
      </c>
      <c r="F10" s="22" t="n">
        <v>0.3842</v>
      </c>
      <c r="G10" s="22" t="n">
        <v>0.463941199841081</v>
      </c>
      <c r="H10" s="22" t="n">
        <v>4.624</v>
      </c>
      <c r="I10" s="22" t="n">
        <v>8.701000000000001</v>
      </c>
      <c r="J10" s="22" t="n">
        <v>0.7744</v>
      </c>
    </row>
    <row r="11" ht="15.75" customHeight="1">
      <c r="A11" s="1" t="n">
        <v>835</v>
      </c>
      <c r="B11" s="1" t="inlineStr">
        <is>
          <t>front_of_eyes_center_horizontal</t>
        </is>
      </c>
      <c r="C11" s="1" t="n">
        <v>636.9</v>
      </c>
      <c r="D11" s="24" t="n">
        <v>0.23</v>
      </c>
      <c r="E11" s="24" t="n">
        <v>1.078</v>
      </c>
      <c r="F11" s="24" t="n">
        <v>0.2984</v>
      </c>
      <c r="G11" s="24" t="n">
        <v>0.794358038406602</v>
      </c>
      <c r="H11" s="24" t="n">
        <v>5.637</v>
      </c>
      <c r="I11" s="24" t="n">
        <v>5.637</v>
      </c>
      <c r="J11" s="24" t="n">
        <v>1.144</v>
      </c>
    </row>
    <row r="12" ht="15.75" customHeight="1">
      <c r="A12" s="25" t="n">
        <v>835</v>
      </c>
      <c r="B12" s="25" t="inlineStr">
        <is>
          <t>front_of_eyes_left_vertical</t>
        </is>
      </c>
      <c r="C12" s="25" t="n">
        <v>636.9</v>
      </c>
      <c r="D12" s="26" t="n">
        <v>0.2561</v>
      </c>
      <c r="E12" s="26" t="n">
        <v>0.9115</v>
      </c>
      <c r="F12" s="26" t="n">
        <v>0.3921</v>
      </c>
      <c r="G12" s="26" t="n">
        <v>0.466135173726797</v>
      </c>
      <c r="H12" s="26" t="n">
        <v>3.987</v>
      </c>
      <c r="I12" s="26" t="n">
        <v>8.782999999999999</v>
      </c>
      <c r="J12" s="26" t="n">
        <v>0.7284</v>
      </c>
    </row>
    <row r="13" ht="15.75" customHeight="1">
      <c r="A13" s="1" t="n">
        <v>835</v>
      </c>
      <c r="B13" s="1" t="inlineStr">
        <is>
          <t>front_of_eyes_left_horizontal</t>
        </is>
      </c>
      <c r="C13" s="1" t="n">
        <v>636.9</v>
      </c>
      <c r="D13" s="24" t="n">
        <v>0.2385</v>
      </c>
      <c r="E13" s="24" t="n">
        <v>1.14</v>
      </c>
      <c r="F13" s="24" t="n">
        <v>0.3088</v>
      </c>
      <c r="G13" s="24" t="n">
        <v>0.839174930583102</v>
      </c>
      <c r="H13" s="24" t="n">
        <v>5.778</v>
      </c>
      <c r="I13" s="24" t="n">
        <v>5.778</v>
      </c>
      <c r="J13" s="24" t="n">
        <v>1.212</v>
      </c>
    </row>
    <row r="14" ht="15.75" customHeight="1">
      <c r="A14" s="25" t="n">
        <v>835</v>
      </c>
      <c r="B14" s="25" t="inlineStr">
        <is>
          <t>front_of_eyes_right_vertical</t>
        </is>
      </c>
      <c r="C14" s="25" t="n">
        <v>636.9</v>
      </c>
      <c r="D14" s="26" t="n">
        <v>0.2587</v>
      </c>
      <c r="E14" s="26" t="n">
        <v>0.9567</v>
      </c>
      <c r="F14" s="26" t="n">
        <v>0.3941</v>
      </c>
      <c r="G14" s="26" t="n">
        <v>0.485448057097542</v>
      </c>
      <c r="H14" s="26" t="n">
        <v>5.264</v>
      </c>
      <c r="I14" s="26" t="n">
        <v>8.94</v>
      </c>
      <c r="J14" s="26" t="n">
        <v>0.7917999999999999</v>
      </c>
    </row>
    <row r="15" ht="15.75" customHeight="1">
      <c r="A15" s="1" t="n">
        <v>835</v>
      </c>
      <c r="B15" s="1" t="inlineStr">
        <is>
          <t>front_of_eyes_right_horizontal</t>
        </is>
      </c>
      <c r="C15" s="1" t="n">
        <v>636.9</v>
      </c>
      <c r="D15" s="24" t="n">
        <v>0.218</v>
      </c>
      <c r="E15" s="24" t="n">
        <v>0.9947</v>
      </c>
      <c r="F15" s="24" t="n">
        <v>0.2832</v>
      </c>
      <c r="G15" s="24" t="n">
        <v>0.741197937326458</v>
      </c>
      <c r="H15" s="24" t="n">
        <v>5.334</v>
      </c>
      <c r="I15" s="24" t="n">
        <v>5.334</v>
      </c>
      <c r="J15" s="24" t="n">
        <v>1.042</v>
      </c>
    </row>
    <row r="16" ht="15.75" customHeight="1">
      <c r="A16" s="25" t="n">
        <v>835</v>
      </c>
      <c r="B16" s="25" t="inlineStr">
        <is>
          <t>front_of_eyes_down_vertical</t>
        </is>
      </c>
      <c r="C16" s="25" t="n">
        <v>636.9</v>
      </c>
      <c r="D16" s="26" t="n">
        <v>0.2922</v>
      </c>
      <c r="E16" s="26" t="n">
        <v>0.6595</v>
      </c>
      <c r="F16" s="26" t="n">
        <v>0.5108</v>
      </c>
      <c r="G16" s="26" t="n">
        <v>0.249399793306304</v>
      </c>
      <c r="H16" s="26" t="n">
        <v>2.019</v>
      </c>
      <c r="I16" s="26" t="n">
        <v>8.460000000000001</v>
      </c>
      <c r="J16" s="26" t="n">
        <v>0.4006</v>
      </c>
    </row>
    <row r="17" ht="16.5" customHeight="1" thickBot="1">
      <c r="A17" s="28" t="n">
        <v>835</v>
      </c>
      <c r="B17" s="28" t="inlineStr">
        <is>
          <t>front_of_eyes_down_horizontal</t>
        </is>
      </c>
      <c r="C17" s="28" t="n">
        <v>636.9</v>
      </c>
      <c r="D17" s="29" t="n">
        <v>0.2687</v>
      </c>
      <c r="E17" s="29" t="n">
        <v>0.9802999999999999</v>
      </c>
      <c r="F17" s="29" t="n">
        <v>0.396</v>
      </c>
      <c r="G17" s="29" t="n">
        <v>0.665073441842001</v>
      </c>
      <c r="H17" s="29" t="n">
        <v>4.389</v>
      </c>
      <c r="I17" s="29" t="n">
        <v>4.633</v>
      </c>
      <c r="J17" s="29" t="n">
        <v>0.8943</v>
      </c>
    </row>
    <row r="18" ht="15.75" customHeight="1">
      <c r="A18" s="21" t="n">
        <v>1450</v>
      </c>
      <c r="B18" s="21" t="inlineStr">
        <is>
          <t>front_of_eyes_center_vertical</t>
        </is>
      </c>
      <c r="C18" s="21" t="n">
        <v>131.7</v>
      </c>
      <c r="D18" s="22" t="n">
        <v>0.2022</v>
      </c>
      <c r="E18" s="26" t="n">
        <v>0.7941</v>
      </c>
      <c r="F18" s="26" t="n">
        <v>0.2814</v>
      </c>
      <c r="G18" s="26" t="n">
        <v>0.473362549800797</v>
      </c>
      <c r="H18" s="26" t="n">
        <v>4.152</v>
      </c>
      <c r="I18" s="26" t="n">
        <v>12.89</v>
      </c>
      <c r="J18" s="26" t="n">
        <v>0.2776</v>
      </c>
    </row>
    <row r="19" ht="15.75" customHeight="1">
      <c r="A19" s="1" t="n">
        <v>1450</v>
      </c>
      <c r="B19" s="1" t="inlineStr">
        <is>
          <t>front_of_eyes_center_horizontal</t>
        </is>
      </c>
      <c r="C19" s="1" t="n">
        <v>131.7</v>
      </c>
      <c r="D19" s="24" t="n">
        <v>0.1417</v>
      </c>
      <c r="E19" s="24" t="n">
        <v>0.658</v>
      </c>
      <c r="F19" s="24" t="n">
        <v>0.1566</v>
      </c>
      <c r="G19" s="24" t="n">
        <v>0.343580650302837</v>
      </c>
      <c r="H19" s="24" t="n">
        <v>3.551</v>
      </c>
      <c r="I19" s="24" t="n">
        <v>13.87</v>
      </c>
      <c r="J19" s="24" t="n">
        <v>0.2108</v>
      </c>
    </row>
    <row r="20" ht="15.75" customHeight="1">
      <c r="A20" s="25" t="n">
        <v>1450</v>
      </c>
      <c r="B20" s="25" t="inlineStr">
        <is>
          <t>front_of_eyes_left_vertical</t>
        </is>
      </c>
      <c r="C20" s="25" t="n">
        <v>131.7</v>
      </c>
      <c r="D20" s="26" t="n">
        <v>0.2045</v>
      </c>
      <c r="E20" s="26" t="n">
        <v>0.8063</v>
      </c>
      <c r="F20" s="26" t="n">
        <v>0.2873</v>
      </c>
      <c r="G20" s="26" t="n">
        <v>0.487575661038547</v>
      </c>
      <c r="H20" s="26" t="n">
        <v>4.392</v>
      </c>
      <c r="I20" s="26" t="n">
        <v>12.46</v>
      </c>
      <c r="J20" s="26" t="n">
        <v>0.2561</v>
      </c>
    </row>
    <row r="21" ht="15.75" customHeight="1">
      <c r="A21" s="1" t="n">
        <v>1450</v>
      </c>
      <c r="B21" s="1" t="inlineStr">
        <is>
          <t>front_of_eyes_left_horizontal</t>
        </is>
      </c>
      <c r="C21" s="1" t="n">
        <v>131.7</v>
      </c>
      <c r="D21" s="24" t="n">
        <v>0.141</v>
      </c>
      <c r="E21" s="24" t="n">
        <v>0.6912</v>
      </c>
      <c r="F21" s="24" t="n">
        <v>0.1533</v>
      </c>
      <c r="G21" s="24" t="n">
        <v>0.342674529805547</v>
      </c>
      <c r="H21" s="24" t="n">
        <v>3.442</v>
      </c>
      <c r="I21" s="24" t="n">
        <v>15.31</v>
      </c>
      <c r="J21" s="24" t="n">
        <v>0.217</v>
      </c>
    </row>
    <row r="22" ht="15.75" customHeight="1">
      <c r="A22" s="25" t="n">
        <v>1450</v>
      </c>
      <c r="B22" s="25" t="inlineStr">
        <is>
          <t>front_of_eyes_right_vertical</t>
        </is>
      </c>
      <c r="C22" s="25" t="n">
        <v>131.7</v>
      </c>
      <c r="D22" s="26" t="n">
        <v>0.1992</v>
      </c>
      <c r="E22" s="26" t="n">
        <v>0.7711</v>
      </c>
      <c r="F22" s="26" t="n">
        <v>0.2735</v>
      </c>
      <c r="G22" s="26" t="n">
        <v>0.452637450199203</v>
      </c>
      <c r="H22" s="26" t="n">
        <v>3.364</v>
      </c>
      <c r="I22" s="26" t="n">
        <v>12.76</v>
      </c>
      <c r="J22" s="26" t="n">
        <v>0.2947</v>
      </c>
    </row>
    <row r="23" ht="15.75" customHeight="1">
      <c r="A23" s="1" t="n">
        <v>1450</v>
      </c>
      <c r="B23" s="1" t="inlineStr">
        <is>
          <t>front_of_eyes_right_horizontal</t>
        </is>
      </c>
      <c r="C23" s="1" t="n">
        <v>131.7</v>
      </c>
      <c r="D23" s="24" t="n">
        <v>0.1427</v>
      </c>
      <c r="E23" s="24" t="n">
        <v>0.6289</v>
      </c>
      <c r="F23" s="24" t="n">
        <v>0.1621</v>
      </c>
      <c r="G23" s="24" t="n">
        <v>0.340975765306122</v>
      </c>
      <c r="H23" s="24" t="n">
        <v>3.631</v>
      </c>
      <c r="I23" s="24" t="n">
        <v>11.95</v>
      </c>
      <c r="J23" s="24" t="n">
        <v>0.2038</v>
      </c>
    </row>
    <row r="24" ht="15.75" customHeight="1">
      <c r="A24" s="25" t="n">
        <v>1450</v>
      </c>
      <c r="B24" s="25" t="inlineStr">
        <is>
          <t>front_of_eyes_down_vertical</t>
        </is>
      </c>
      <c r="C24" s="25" t="n">
        <v>131.7</v>
      </c>
      <c r="D24" s="26" t="n">
        <v>0.2185</v>
      </c>
      <c r="E24" s="26" t="n">
        <v>0.7264</v>
      </c>
      <c r="F24" s="26" t="n">
        <v>0.3243</v>
      </c>
      <c r="G24" s="26" t="n">
        <v>0.338461538461539</v>
      </c>
      <c r="H24" s="26" t="n">
        <v>2.901</v>
      </c>
      <c r="I24" s="26" t="n">
        <v>15.23</v>
      </c>
      <c r="J24" s="26" t="n">
        <v>0.193</v>
      </c>
    </row>
    <row r="25" ht="16.5" customHeight="1" thickBot="1">
      <c r="A25" s="28" t="n">
        <v>1450</v>
      </c>
      <c r="B25" s="28" t="inlineStr">
        <is>
          <t>front_of_eyes_down_horizontal</t>
        </is>
      </c>
      <c r="C25" s="28" t="n">
        <v>131.7</v>
      </c>
      <c r="D25" s="29" t="n">
        <v>0.1527</v>
      </c>
      <c r="E25" s="29" t="n">
        <v>0.5454</v>
      </c>
      <c r="F25" s="29" t="n">
        <v>0.1973</v>
      </c>
      <c r="G25" s="29" t="n">
        <v>0.238129289704709</v>
      </c>
      <c r="H25" s="29" t="n">
        <v>2.469</v>
      </c>
      <c r="I25" s="29" t="n">
        <v>13.66</v>
      </c>
      <c r="J25" s="29" t="n">
        <v>0.1485</v>
      </c>
    </row>
    <row r="26" ht="15.75" customHeight="1">
      <c r="A26" s="21" t="n">
        <v>2140</v>
      </c>
      <c r="B26" s="21" t="inlineStr">
        <is>
          <t>front_of_eyes_center_vertical</t>
        </is>
      </c>
      <c r="C26" s="21" t="n">
        <v>85.5</v>
      </c>
      <c r="D26" s="22" t="n">
        <v>0.1033</v>
      </c>
      <c r="E26" s="26" t="n">
        <v>0.4619</v>
      </c>
      <c r="F26" s="26" t="n">
        <v>0.1484</v>
      </c>
      <c r="G26" s="26" t="n">
        <v>0.121011164274322</v>
      </c>
      <c r="H26" s="26" t="n">
        <v>2.031</v>
      </c>
      <c r="I26" s="26" t="n">
        <v>7.693</v>
      </c>
      <c r="J26" s="26" t="n">
        <v>0.01138</v>
      </c>
    </row>
    <row r="27" ht="15.75" customHeight="1">
      <c r="A27" s="1" t="n">
        <v>2140</v>
      </c>
      <c r="B27" s="1" t="inlineStr">
        <is>
          <t>front_of_eyes_center_horizontal</t>
        </is>
      </c>
      <c r="C27" s="1" t="n">
        <v>85.5</v>
      </c>
      <c r="D27" s="24" t="n">
        <v>0.07709000000000001</v>
      </c>
      <c r="E27" s="24" t="n">
        <v>0.4401</v>
      </c>
      <c r="F27" s="24" t="n">
        <v>0.09529</v>
      </c>
      <c r="G27" s="24" t="n">
        <v>0.114211659621979</v>
      </c>
      <c r="H27" s="24" t="n">
        <v>4.269</v>
      </c>
      <c r="I27" s="24" t="n">
        <v>8.353</v>
      </c>
      <c r="J27" s="24" t="n">
        <v>0.008513</v>
      </c>
    </row>
    <row r="28" ht="15.75" customHeight="1">
      <c r="A28" s="25" t="n">
        <v>2140</v>
      </c>
      <c r="B28" s="25" t="inlineStr">
        <is>
          <t>front_of_eyes_left_vertical</t>
        </is>
      </c>
      <c r="C28" s="25" t="n">
        <v>85.5</v>
      </c>
      <c r="D28" s="26" t="n">
        <v>0.1011</v>
      </c>
      <c r="E28" s="26" t="n">
        <v>0.4552</v>
      </c>
      <c r="F28" s="26" t="n">
        <v>0.1444</v>
      </c>
      <c r="G28" s="26" t="n">
        <v>0.120341171781586</v>
      </c>
      <c r="H28" s="26" t="n">
        <v>2.177</v>
      </c>
      <c r="I28" s="26" t="n">
        <v>7.463</v>
      </c>
      <c r="J28" s="26" t="n">
        <v>0.01558</v>
      </c>
    </row>
    <row r="29" ht="15.75" customHeight="1">
      <c r="A29" s="1" t="n">
        <v>2140</v>
      </c>
      <c r="B29" s="1" t="inlineStr">
        <is>
          <t>front_of_eyes_left_horizontal</t>
        </is>
      </c>
      <c r="C29" s="1" t="n">
        <v>85.5</v>
      </c>
      <c r="D29" s="24" t="n">
        <v>0.08007</v>
      </c>
      <c r="E29" s="24" t="n">
        <v>0.4715</v>
      </c>
      <c r="F29" s="24" t="n">
        <v>0.096</v>
      </c>
      <c r="G29" s="24" t="n">
        <v>0.12102942349095</v>
      </c>
      <c r="H29" s="24" t="n">
        <v>4.222</v>
      </c>
      <c r="I29" s="24" t="n">
        <v>10.18</v>
      </c>
      <c r="J29" s="24" t="n">
        <v>0.008525</v>
      </c>
    </row>
    <row r="30" ht="15.75" customHeight="1">
      <c r="A30" s="25" t="n">
        <v>2140</v>
      </c>
      <c r="B30" s="25" t="inlineStr">
        <is>
          <t>front_of_eyes_right_vertical</t>
        </is>
      </c>
      <c r="C30" s="25" t="n">
        <v>85.5</v>
      </c>
      <c r="D30" s="26" t="n">
        <v>0.1026</v>
      </c>
      <c r="E30" s="26" t="n">
        <v>0.4561</v>
      </c>
      <c r="F30" s="26" t="n">
        <v>0.1481</v>
      </c>
      <c r="G30" s="26" t="n">
        <v>0.118806600765306</v>
      </c>
      <c r="H30" s="26" t="n">
        <v>1.993</v>
      </c>
      <c r="I30" s="26" t="n">
        <v>7.709</v>
      </c>
      <c r="J30" s="26" t="n">
        <v>0.01093</v>
      </c>
    </row>
    <row r="31" ht="15.75" customHeight="1">
      <c r="A31" s="1" t="n">
        <v>2140</v>
      </c>
      <c r="B31" s="1" t="inlineStr">
        <is>
          <t>front_of_eyes_right_horizontal</t>
        </is>
      </c>
      <c r="C31" s="1" t="n">
        <v>85.5</v>
      </c>
      <c r="D31" s="24" t="n">
        <v>0.07428</v>
      </c>
      <c r="E31" s="24" t="n">
        <v>0.4066</v>
      </c>
      <c r="F31" s="24" t="n">
        <v>0.09465</v>
      </c>
      <c r="G31" s="24" t="n">
        <v>0.106998724896398</v>
      </c>
      <c r="H31" s="24" t="n">
        <v>3.989</v>
      </c>
      <c r="I31" s="24" t="n">
        <v>7.233</v>
      </c>
      <c r="J31" s="24" t="n">
        <v>0.009943</v>
      </c>
    </row>
    <row r="32" ht="15.75" customHeight="1">
      <c r="A32" s="25" t="n">
        <v>2140</v>
      </c>
      <c r="B32" s="25" t="inlineStr">
        <is>
          <t>front_of_eyes_down_vertical</t>
        </is>
      </c>
      <c r="C32" s="25" t="n">
        <v>85.5</v>
      </c>
      <c r="D32" s="26" t="n">
        <v>0.1141</v>
      </c>
      <c r="E32" s="26" t="n">
        <v>0.3872</v>
      </c>
      <c r="F32" s="26" t="n">
        <v>0.1825</v>
      </c>
      <c r="G32" s="26" t="n">
        <v>0.09852123922069631</v>
      </c>
      <c r="H32" s="26" t="n">
        <v>1.599</v>
      </c>
      <c r="I32" s="26" t="n">
        <v>5.092</v>
      </c>
      <c r="J32" s="26" t="n">
        <v>0.009996</v>
      </c>
    </row>
    <row r="33" ht="16.5" customHeight="1" thickBot="1">
      <c r="A33" s="28" t="n">
        <v>2140</v>
      </c>
      <c r="B33" s="28" t="inlineStr">
        <is>
          <t>front_of_eyes_down_horizontal</t>
        </is>
      </c>
      <c r="C33" s="28" t="n">
        <v>85.5</v>
      </c>
      <c r="D33" s="29" t="n">
        <v>0.08688</v>
      </c>
      <c r="E33" s="29" t="n">
        <v>0.3903</v>
      </c>
      <c r="F33" s="29" t="n">
        <v>0.1261</v>
      </c>
      <c r="G33" s="29" t="n">
        <v>0.07902046667197581</v>
      </c>
      <c r="H33" s="29" t="n">
        <v>1.975</v>
      </c>
      <c r="I33" s="29" t="n">
        <v>8.416</v>
      </c>
      <c r="J33" s="29" t="n">
        <v>0.005473</v>
      </c>
    </row>
    <row r="34" ht="15.75" customHeight="1">
      <c r="A34" s="21" t="n">
        <v>2450</v>
      </c>
      <c r="B34" s="21" t="inlineStr">
        <is>
          <t>front_of_eyes_center_vertical</t>
        </is>
      </c>
      <c r="C34" s="21" t="n">
        <v>72.5</v>
      </c>
      <c r="D34" s="22" t="n">
        <v>0.1262</v>
      </c>
      <c r="E34" s="22" t="n">
        <v>0.412</v>
      </c>
      <c r="F34" s="22" t="n">
        <v>0.1751</v>
      </c>
      <c r="G34" s="22" t="n">
        <v>0.129742567944529</v>
      </c>
      <c r="H34" s="22" t="n">
        <v>3.227</v>
      </c>
      <c r="I34" s="22" t="n">
        <v>5.376</v>
      </c>
      <c r="J34" s="22" t="n">
        <v>0.0122</v>
      </c>
    </row>
    <row r="35" ht="15.75" customHeight="1">
      <c r="A35" s="1" t="n">
        <v>2450</v>
      </c>
      <c r="B35" s="1" t="inlineStr">
        <is>
          <t>front_of_eyes_center_horizontal</t>
        </is>
      </c>
      <c r="C35" s="1" t="n">
        <v>72.5</v>
      </c>
      <c r="D35" s="24" t="n">
        <v>0.07786</v>
      </c>
      <c r="E35" s="24" t="n">
        <v>0.3585</v>
      </c>
      <c r="F35" s="24" t="n">
        <v>0.09972</v>
      </c>
      <c r="G35" s="24" t="n">
        <v>0.08097257653061229</v>
      </c>
      <c r="H35" s="24" t="n">
        <v>3.192</v>
      </c>
      <c r="I35" s="24" t="n">
        <v>6.372</v>
      </c>
      <c r="J35" s="24" t="n">
        <v>0.01093</v>
      </c>
    </row>
    <row r="36" ht="15.75" customHeight="1">
      <c r="A36" s="25" t="n">
        <v>2450</v>
      </c>
      <c r="B36" s="25" t="inlineStr">
        <is>
          <t>front_of_eyes_left_vertical</t>
        </is>
      </c>
      <c r="C36" s="25" t="n">
        <v>72.5</v>
      </c>
      <c r="D36" s="26" t="n">
        <v>0.1254</v>
      </c>
      <c r="E36" s="26" t="n">
        <v>0.4049</v>
      </c>
      <c r="F36" s="26" t="n">
        <v>0.1724</v>
      </c>
      <c r="G36" s="26" t="n">
        <v>0.127917729591837</v>
      </c>
      <c r="H36" s="26" t="n">
        <v>2.699</v>
      </c>
      <c r="I36" s="26" t="n">
        <v>5.752</v>
      </c>
      <c r="J36" s="26" t="n">
        <v>0.01428</v>
      </c>
    </row>
    <row r="37" ht="15.75" customHeight="1">
      <c r="A37" s="1" t="n">
        <v>2450</v>
      </c>
      <c r="B37" s="1" t="inlineStr">
        <is>
          <t>front_of_eyes_left_horizontal</t>
        </is>
      </c>
      <c r="C37" s="1" t="n">
        <v>72.5</v>
      </c>
      <c r="D37" s="24" t="n">
        <v>0.07826</v>
      </c>
      <c r="E37" s="24" t="n">
        <v>0.3732</v>
      </c>
      <c r="F37" s="24" t="n">
        <v>0.0984</v>
      </c>
      <c r="G37" s="24" t="n">
        <v>0.08509008290816331</v>
      </c>
      <c r="H37" s="24" t="n">
        <v>3.424</v>
      </c>
      <c r="I37" s="24" t="n">
        <v>6.753</v>
      </c>
      <c r="J37" s="24" t="n">
        <v>0.0106</v>
      </c>
    </row>
    <row r="38" ht="15.75" customHeight="1">
      <c r="A38" s="25" t="n">
        <v>2450</v>
      </c>
      <c r="B38" s="25" t="inlineStr">
        <is>
          <t>front_of_eyes_right_vertical</t>
        </is>
      </c>
      <c r="C38" s="25" t="n">
        <v>72.5</v>
      </c>
      <c r="D38" s="26" t="n">
        <v>0.1256</v>
      </c>
      <c r="E38" s="26" t="n">
        <v>0.4115</v>
      </c>
      <c r="F38" s="26" t="n">
        <v>0.1725</v>
      </c>
      <c r="G38" s="26" t="n">
        <v>0.129820759977695</v>
      </c>
      <c r="H38" s="26" t="n">
        <v>3.533</v>
      </c>
      <c r="I38" s="26" t="n">
        <v>4.769</v>
      </c>
      <c r="J38" s="26" t="n">
        <v>0.01327</v>
      </c>
    </row>
    <row r="39" ht="15.75" customHeight="1">
      <c r="A39" s="1" t="n">
        <v>2450</v>
      </c>
      <c r="B39" s="1" t="inlineStr">
        <is>
          <t>front_of_eyes_right_horizontal</t>
        </is>
      </c>
      <c r="C39" s="1" t="n">
        <v>72.5</v>
      </c>
      <c r="D39" s="24" t="n">
        <v>0.07797</v>
      </c>
      <c r="E39" s="24" t="n">
        <v>0.3453</v>
      </c>
      <c r="F39" s="24" t="n">
        <v>0.1008</v>
      </c>
      <c r="G39" s="24" t="n">
        <v>0.07531479120178521</v>
      </c>
      <c r="H39" s="24" t="n">
        <v>3.061</v>
      </c>
      <c r="I39" s="24" t="n">
        <v>6.542</v>
      </c>
      <c r="J39" s="24" t="n">
        <v>0.01053</v>
      </c>
    </row>
    <row r="40" ht="15.75" customHeight="1">
      <c r="A40" s="25" t="n">
        <v>2450</v>
      </c>
      <c r="B40" s="25" t="inlineStr">
        <is>
          <t>front_of_eyes_down_vertical</t>
        </is>
      </c>
      <c r="C40" s="25" t="n">
        <v>72.5</v>
      </c>
      <c r="D40" s="26" t="n">
        <v>0.1341</v>
      </c>
      <c r="E40" s="26" t="n">
        <v>0.373</v>
      </c>
      <c r="F40" s="26" t="n">
        <v>0.193</v>
      </c>
      <c r="G40" s="26" t="n">
        <v>0.0990276339890101</v>
      </c>
      <c r="H40" s="26" t="n">
        <v>2.549</v>
      </c>
      <c r="I40" s="26" t="n">
        <v>5.844</v>
      </c>
      <c r="J40" s="26" t="n">
        <v>0.01352</v>
      </c>
    </row>
    <row r="41" ht="16.5" customHeight="1" thickBot="1">
      <c r="A41" s="28" t="n">
        <v>2450</v>
      </c>
      <c r="B41" s="28" t="inlineStr">
        <is>
          <t>front_of_eyes_down_horizontal</t>
        </is>
      </c>
      <c r="C41" s="28" t="n">
        <v>72.5</v>
      </c>
      <c r="D41" s="29" t="n">
        <v>0.0828</v>
      </c>
      <c r="E41" s="29" t="n">
        <v>0.2817</v>
      </c>
      <c r="F41" s="29" t="n">
        <v>0.1195</v>
      </c>
      <c r="G41" s="29" t="n">
        <v>0.0526670387498007</v>
      </c>
      <c r="H41" s="29" t="n">
        <v>1.718</v>
      </c>
      <c r="I41" s="29" t="n">
        <v>4.942</v>
      </c>
      <c r="J41" s="29" t="n">
        <v>0.006767</v>
      </c>
    </row>
    <row r="42" ht="15.75" customHeight="1">
      <c r="A42" s="21" t="n">
        <v>3500</v>
      </c>
      <c r="B42" s="21" t="inlineStr">
        <is>
          <t>front_of_eyes_center_vertical</t>
        </is>
      </c>
      <c r="C42" s="21" t="n">
        <v>58</v>
      </c>
      <c r="D42" s="22" t="n">
        <v>0.08184</v>
      </c>
      <c r="E42" s="26" t="n">
        <v>0.2544</v>
      </c>
      <c r="F42" s="22" t="n">
        <v>0.1121</v>
      </c>
      <c r="G42" s="22" t="n">
        <v>0.0309613699721227</v>
      </c>
      <c r="H42" s="22" t="n">
        <v>2.783</v>
      </c>
      <c r="I42" s="22" t="n">
        <v>7.181</v>
      </c>
      <c r="J42" s="22" t="n">
        <v>0.0009449</v>
      </c>
    </row>
    <row r="43" ht="15.75" customHeight="1">
      <c r="A43" s="1" t="n">
        <v>3500</v>
      </c>
      <c r="B43" s="1" t="inlineStr">
        <is>
          <t>front_of_eyes_center_horizontal</t>
        </is>
      </c>
      <c r="C43" s="1" t="n">
        <v>58</v>
      </c>
      <c r="D43" s="24" t="n">
        <v>0.0718</v>
      </c>
      <c r="E43" s="24" t="n">
        <v>0.2018</v>
      </c>
      <c r="F43" s="24" t="n">
        <v>0.1116</v>
      </c>
      <c r="G43" s="24" t="n">
        <v>0.0131330940988836</v>
      </c>
      <c r="H43" s="24" t="n">
        <v>1.972</v>
      </c>
      <c r="I43" s="24" t="n">
        <v>6.526</v>
      </c>
      <c r="J43" s="24" t="n">
        <v>0.00022</v>
      </c>
    </row>
    <row r="44" ht="15.75" customHeight="1">
      <c r="A44" s="25" t="n">
        <v>3500</v>
      </c>
      <c r="B44" s="25" t="inlineStr">
        <is>
          <t>front_of_eyes_left_vertical</t>
        </is>
      </c>
      <c r="C44" s="25" t="n">
        <v>58</v>
      </c>
      <c r="D44" s="26" t="n">
        <v>0.077</v>
      </c>
      <c r="E44" s="26" t="n">
        <v>0.21</v>
      </c>
      <c r="F44" s="26" t="n">
        <v>0.1071</v>
      </c>
      <c r="G44" s="26" t="n">
        <v>0.0271330253305719</v>
      </c>
      <c r="H44" s="26" t="n">
        <v>2.575</v>
      </c>
      <c r="I44" s="26" t="n">
        <v>5.789</v>
      </c>
      <c r="J44" s="26" t="n">
        <v>0.001098</v>
      </c>
    </row>
    <row r="45" ht="15.75" customHeight="1">
      <c r="A45" s="1" t="n">
        <v>3500</v>
      </c>
      <c r="B45" s="1" t="inlineStr">
        <is>
          <t>front_of_eyes_left_horizontal</t>
        </is>
      </c>
      <c r="C45" s="1" t="n">
        <v>58</v>
      </c>
      <c r="D45" s="24" t="n">
        <v>0.07331</v>
      </c>
      <c r="E45" s="24" t="n">
        <v>0.2193</v>
      </c>
      <c r="F45" s="24" t="n">
        <v>0.1131</v>
      </c>
      <c r="G45" s="24" t="n">
        <v>0.0165980704831765</v>
      </c>
      <c r="H45" s="24" t="n">
        <v>1.632</v>
      </c>
      <c r="I45" s="24" t="n">
        <v>7.281</v>
      </c>
      <c r="J45" s="24" t="n">
        <v>0.000377</v>
      </c>
    </row>
    <row r="46" ht="15.75" customHeight="1">
      <c r="A46" s="25" t="n">
        <v>3500</v>
      </c>
      <c r="B46" s="25" t="inlineStr">
        <is>
          <t>front_of_eyes_right_vertical</t>
        </is>
      </c>
      <c r="C46" s="25" t="n">
        <v>58</v>
      </c>
      <c r="D46" s="26" t="n">
        <v>0.08561000000000001</v>
      </c>
      <c r="E46" s="26" t="n">
        <v>0.296</v>
      </c>
      <c r="F46" s="26" t="n">
        <v>0.1158</v>
      </c>
      <c r="G46" s="26" t="n">
        <v>0.0338644324152205</v>
      </c>
      <c r="H46" s="26" t="n">
        <v>3.033</v>
      </c>
      <c r="I46" s="26" t="n">
        <v>8.161</v>
      </c>
      <c r="J46" s="26" t="n">
        <v>0.0007462</v>
      </c>
    </row>
    <row r="47" ht="15.75" customHeight="1">
      <c r="A47" s="1" t="n">
        <v>3500</v>
      </c>
      <c r="B47" s="1" t="inlineStr">
        <is>
          <t>front_of_eyes_right_horizontal</t>
        </is>
      </c>
      <c r="C47" s="1" t="n">
        <v>58</v>
      </c>
      <c r="D47" s="24" t="n">
        <v>0.07015</v>
      </c>
      <c r="E47" s="24" t="n">
        <v>0.1844</v>
      </c>
      <c r="F47" s="24" t="n">
        <v>0.1094</v>
      </c>
      <c r="G47" s="24" t="n">
        <v>0.0119796764166733</v>
      </c>
      <c r="H47" s="24" t="n">
        <v>2.015</v>
      </c>
      <c r="I47" s="24" t="n">
        <v>5.475</v>
      </c>
      <c r="J47" s="24" t="n">
        <v>0.0003184</v>
      </c>
    </row>
    <row r="48" ht="15.75" customHeight="1">
      <c r="A48" s="25" t="n">
        <v>3500</v>
      </c>
      <c r="B48" s="25" t="inlineStr">
        <is>
          <t>front_of_eyes_down_vertical</t>
        </is>
      </c>
      <c r="C48" s="25" t="n">
        <v>58</v>
      </c>
      <c r="D48" s="26" t="n">
        <v>0.08151</v>
      </c>
      <c r="E48" s="26" t="n">
        <v>0.1776</v>
      </c>
      <c r="F48" s="26" t="n">
        <v>0.1221</v>
      </c>
      <c r="G48" s="26" t="n">
        <v>0.0204349804422448</v>
      </c>
      <c r="H48" s="26" t="n">
        <v>1.73</v>
      </c>
      <c r="I48" s="26" t="n">
        <v>2.76</v>
      </c>
      <c r="J48" s="26" t="n">
        <v>0.0006449</v>
      </c>
    </row>
    <row r="49" ht="16.5" customHeight="1" thickBot="1">
      <c r="A49" s="28" t="n">
        <v>3500</v>
      </c>
      <c r="B49" s="28" t="inlineStr">
        <is>
          <t>front_of_eyes_down_horizontal</t>
        </is>
      </c>
      <c r="C49" s="28" t="n">
        <v>58</v>
      </c>
      <c r="D49" s="29" t="n">
        <v>0.07575</v>
      </c>
      <c r="E49" s="29" t="n">
        <v>0.1146</v>
      </c>
      <c r="F49" s="29" t="n">
        <v>0.1306</v>
      </c>
      <c r="G49" s="29" t="n">
        <v>0.0088811211083685</v>
      </c>
      <c r="H49" s="29" t="n">
        <v>0.8688</v>
      </c>
      <c r="I49" s="29" t="n">
        <v>2.935</v>
      </c>
      <c r="J49" s="29" t="n">
        <v>0.0001228</v>
      </c>
    </row>
    <row r="50" ht="15.75" customHeight="1">
      <c r="A50" s="21" t="n">
        <v>5200</v>
      </c>
      <c r="B50" s="21" t="inlineStr">
        <is>
          <t>front_of_eyes_center_vertical</t>
        </is>
      </c>
      <c r="C50" s="21" t="n">
        <v>64.5</v>
      </c>
      <c r="D50" s="22" t="n">
        <v>0.0622</v>
      </c>
      <c r="E50" s="22" t="n">
        <v>0.1604</v>
      </c>
      <c r="F50" s="22" t="n">
        <v>0.09036</v>
      </c>
      <c r="G50" s="22" t="n">
        <v>0.00364192751891677</v>
      </c>
      <c r="H50" s="22" t="n">
        <v>1.743</v>
      </c>
      <c r="I50" s="22" t="n">
        <v>4.107</v>
      </c>
      <c r="J50" s="22" t="n">
        <v>1.061e-06</v>
      </c>
    </row>
    <row r="51" ht="15.75" customHeight="1">
      <c r="A51" s="1" t="n">
        <v>5200</v>
      </c>
      <c r="B51" s="1" t="inlineStr">
        <is>
          <t>front_of_eyes_center_horizontal</t>
        </is>
      </c>
      <c r="C51" s="1" t="n">
        <v>64.5</v>
      </c>
      <c r="D51" s="24" t="n">
        <v>0.06354</v>
      </c>
      <c r="E51" s="24" t="n">
        <v>0.1739</v>
      </c>
      <c r="F51" s="24" t="n">
        <v>0.09956</v>
      </c>
      <c r="G51" s="24" t="n">
        <v>0.00528875508413749</v>
      </c>
      <c r="H51" s="24" t="n">
        <v>2.682</v>
      </c>
      <c r="I51" s="24" t="n">
        <v>4.512</v>
      </c>
      <c r="J51" s="24" t="n">
        <v>1.795e-06</v>
      </c>
    </row>
    <row r="52" ht="15.75" customHeight="1">
      <c r="A52" s="25" t="n">
        <v>5200</v>
      </c>
      <c r="B52" s="25" t="inlineStr">
        <is>
          <t>front_of_eyes_left_vertical</t>
        </is>
      </c>
      <c r="C52" s="25" t="n">
        <v>64.5</v>
      </c>
      <c r="D52" s="26" t="n">
        <v>0.0605</v>
      </c>
      <c r="E52" s="26" t="n">
        <v>0.1617</v>
      </c>
      <c r="F52" s="26" t="n">
        <v>0.08334999999999999</v>
      </c>
      <c r="G52" s="26" t="n">
        <v>0.00457590601354042</v>
      </c>
      <c r="H52" s="26" t="n">
        <v>1.849</v>
      </c>
      <c r="I52" s="26" t="n">
        <v>4.431</v>
      </c>
      <c r="J52" s="26" t="n">
        <v>2.239e-06</v>
      </c>
    </row>
    <row r="53" ht="15.75" customHeight="1">
      <c r="A53" s="1" t="n">
        <v>5200</v>
      </c>
      <c r="B53" s="1" t="inlineStr">
        <is>
          <t>front_of_eyes_left_horizontal</t>
        </is>
      </c>
      <c r="C53" s="1" t="n">
        <v>64.5</v>
      </c>
      <c r="D53" s="24" t="n">
        <v>0.06369</v>
      </c>
      <c r="E53" s="24" t="n">
        <v>0.1723</v>
      </c>
      <c r="F53" s="24" t="n">
        <v>0.09955</v>
      </c>
      <c r="G53" s="24" t="n">
        <v>0.0057254206203652</v>
      </c>
      <c r="H53" s="24" t="n">
        <v>20.9</v>
      </c>
      <c r="I53" s="24" t="n">
        <v>50.83</v>
      </c>
      <c r="J53" s="24" t="n">
        <v>4.048e-05</v>
      </c>
    </row>
    <row r="54" ht="15.75" customHeight="1">
      <c r="A54" s="25" t="n">
        <v>5200</v>
      </c>
      <c r="B54" s="25" t="inlineStr">
        <is>
          <t>front_of_eyes_right_vertical</t>
        </is>
      </c>
      <c r="C54" s="25" t="n">
        <v>64.5</v>
      </c>
      <c r="D54" s="26" t="n">
        <v>0.06109</v>
      </c>
      <c r="E54" s="26" t="n">
        <v>0.159</v>
      </c>
      <c r="F54" s="26" t="n">
        <v>0.09372999999999999</v>
      </c>
      <c r="G54" s="26" t="n">
        <v>0.00668793981850024</v>
      </c>
      <c r="H54" s="26" t="n">
        <v>1.372</v>
      </c>
      <c r="I54" s="26" t="n">
        <v>3.99</v>
      </c>
      <c r="J54" s="26" t="n">
        <v>1.1e-05</v>
      </c>
    </row>
    <row r="55" ht="15.75" customHeight="1">
      <c r="A55" s="1" t="n">
        <v>5200</v>
      </c>
      <c r="B55" s="1" t="inlineStr">
        <is>
          <t>front_of_eyes_right_horizontal</t>
        </is>
      </c>
      <c r="C55" s="1" t="n">
        <v>64.5</v>
      </c>
      <c r="D55" s="24" t="n">
        <v>0.06267</v>
      </c>
      <c r="E55" s="24" t="n">
        <v>0.1733</v>
      </c>
      <c r="F55" s="24" t="n">
        <v>0.09802</v>
      </c>
      <c r="G55" s="24" t="n">
        <v>0.00543325894636168</v>
      </c>
      <c r="H55" s="24" t="n">
        <v>2.647</v>
      </c>
      <c r="I55" s="24" t="n">
        <v>4.313</v>
      </c>
      <c r="J55" s="24" t="n">
        <v>3.162e-06</v>
      </c>
    </row>
    <row r="56" ht="15.75" customHeight="1">
      <c r="A56" s="25" t="n">
        <v>5200</v>
      </c>
      <c r="B56" s="25" t="inlineStr">
        <is>
          <t>front_of_eyes_down_vertical</t>
        </is>
      </c>
      <c r="C56" s="25" t="n">
        <v>64.5</v>
      </c>
      <c r="D56" s="26" t="n">
        <v>0.065</v>
      </c>
      <c r="E56" s="26" t="n">
        <v>0.1507</v>
      </c>
      <c r="F56" s="26" t="n">
        <v>0.09578</v>
      </c>
      <c r="G56" s="26" t="n">
        <v>0.0037216554916986</v>
      </c>
      <c r="H56" s="26" t="n">
        <v>1.696</v>
      </c>
      <c r="I56" s="26" t="n">
        <v>4.001</v>
      </c>
      <c r="J56" s="26" t="n">
        <v>3.469e-06</v>
      </c>
    </row>
    <row r="57" ht="16.5" customHeight="1" thickBot="1">
      <c r="A57" s="28" t="n">
        <v>5200</v>
      </c>
      <c r="B57" s="28" t="inlineStr">
        <is>
          <t>front_of_eyes_down_horizontal</t>
        </is>
      </c>
      <c r="C57" s="28" t="n">
        <v>64.5</v>
      </c>
      <c r="D57" s="29" t="n">
        <v>0.06598</v>
      </c>
      <c r="E57" s="29" t="n">
        <v>0.1544</v>
      </c>
      <c r="F57" s="29" t="n">
        <v>0.1071</v>
      </c>
      <c r="G57" s="29" t="n">
        <v>0.00291755713034477</v>
      </c>
      <c r="H57" s="29" t="n">
        <v>1.701</v>
      </c>
      <c r="I57" s="29" t="n">
        <v>5.461</v>
      </c>
      <c r="J57" s="29" t="n">
        <v>1.442e-06</v>
      </c>
    </row>
    <row r="58" ht="14.25" customHeight="1">
      <c r="A58" s="21" t="n">
        <v>5800</v>
      </c>
      <c r="B58" s="21" t="inlineStr">
        <is>
          <t>front_of_eyes_center_vertical</t>
        </is>
      </c>
      <c r="C58" s="21" t="n">
        <v>64.90000000000001</v>
      </c>
      <c r="D58" s="22" t="n">
        <v>0.04528</v>
      </c>
      <c r="E58" s="22" t="n">
        <v>0.1897</v>
      </c>
      <c r="F58" s="22" t="n">
        <v>0.06688</v>
      </c>
      <c r="G58" s="22" t="n">
        <v>0.00294717764471058</v>
      </c>
      <c r="H58" s="22" t="n">
        <v>2.032</v>
      </c>
      <c r="I58" s="22" t="n">
        <v>5.616</v>
      </c>
      <c r="J58" s="22" t="n">
        <v>3.817e-07</v>
      </c>
    </row>
    <row r="59" ht="15.75" customHeight="1">
      <c r="A59" s="1" t="n">
        <v>5800</v>
      </c>
      <c r="B59" s="1" t="inlineStr">
        <is>
          <t>front_of_eyes_center_horizontal</t>
        </is>
      </c>
      <c r="C59" s="1" t="n">
        <v>64.90000000000001</v>
      </c>
      <c r="D59" s="24" t="n">
        <v>0.05002</v>
      </c>
      <c r="E59" s="24" t="n">
        <v>0.1753</v>
      </c>
      <c r="F59" s="24" t="n">
        <v>0.08396000000000001</v>
      </c>
      <c r="G59" s="24" t="n">
        <v>0.00275082124063148</v>
      </c>
      <c r="H59" s="24" t="n">
        <v>2.402</v>
      </c>
      <c r="I59" s="24" t="n">
        <v>5.7</v>
      </c>
      <c r="J59" s="24" t="n">
        <v>1.68e-07</v>
      </c>
    </row>
    <row r="60" ht="15.75" customHeight="1">
      <c r="A60" s="25" t="n">
        <v>5800</v>
      </c>
      <c r="B60" s="25" t="inlineStr">
        <is>
          <t>front_of_eyes_left_vertical</t>
        </is>
      </c>
      <c r="C60" s="25" t="n">
        <v>64.90000000000001</v>
      </c>
      <c r="D60" s="26" t="n">
        <v>0.04362</v>
      </c>
      <c r="E60" s="26" t="n">
        <v>0.1963</v>
      </c>
      <c r="F60" s="26" t="n">
        <v>0.06212</v>
      </c>
      <c r="G60" s="26" t="n">
        <v>0.00265866060025543</v>
      </c>
      <c r="H60" s="26" t="n">
        <v>1.812</v>
      </c>
      <c r="I60" s="26" t="n">
        <v>6.186</v>
      </c>
      <c r="J60" s="26" t="n">
        <v>4.267e-07</v>
      </c>
    </row>
    <row r="61" ht="15.75" customHeight="1">
      <c r="A61" s="1" t="n">
        <v>5800</v>
      </c>
      <c r="B61" s="1" t="inlineStr">
        <is>
          <t>front_of_eyes_left_horizontal</t>
        </is>
      </c>
      <c r="C61" s="1" t="n">
        <v>64.90000000000001</v>
      </c>
      <c r="D61" s="24" t="n">
        <v>0.05</v>
      </c>
      <c r="E61" s="24" t="n">
        <v>0.1712</v>
      </c>
      <c r="F61" s="24" t="n">
        <v>0.08525000000000001</v>
      </c>
      <c r="G61" s="24" t="n">
        <v>0.00300232020411418</v>
      </c>
      <c r="H61" s="24" t="n">
        <v>2.218</v>
      </c>
      <c r="I61" s="24" t="n">
        <v>4.989</v>
      </c>
      <c r="J61" s="24" t="n">
        <v>4.341e-07</v>
      </c>
    </row>
    <row r="62" ht="15.75" customHeight="1">
      <c r="A62" s="25" t="n">
        <v>5800</v>
      </c>
      <c r="B62" s="25" t="inlineStr">
        <is>
          <t>front_of_eyes_right_vertical</t>
        </is>
      </c>
      <c r="C62" s="25" t="n">
        <v>64.90000000000001</v>
      </c>
      <c r="D62" s="26" t="n">
        <v>0.04618</v>
      </c>
      <c r="E62" s="26" t="n">
        <v>0.178</v>
      </c>
      <c r="F62" s="26" t="n">
        <v>0.07093000000000001</v>
      </c>
      <c r="G62" s="26" t="n">
        <v>0.00397386653895275</v>
      </c>
      <c r="H62" s="26" t="n">
        <v>1.757</v>
      </c>
      <c r="I62" s="26" t="n">
        <v>4.4</v>
      </c>
      <c r="J62" s="26" t="n">
        <v>1.385e-06</v>
      </c>
    </row>
    <row r="63" ht="15.75" customHeight="1">
      <c r="A63" s="1" t="n">
        <v>5800</v>
      </c>
      <c r="B63" s="1" t="inlineStr">
        <is>
          <t>front_of_eyes_right_horizontal</t>
        </is>
      </c>
      <c r="C63" s="1" t="n">
        <v>64.90000000000001</v>
      </c>
      <c r="D63" s="24" t="n">
        <v>0.04864</v>
      </c>
      <c r="E63" s="24" t="n">
        <v>0.1663</v>
      </c>
      <c r="F63" s="24" t="n">
        <v>0.08086</v>
      </c>
      <c r="G63" s="24" t="n">
        <v>0.00246558488158839</v>
      </c>
      <c r="H63" s="24" t="n">
        <v>2.544</v>
      </c>
      <c r="I63" s="24" t="n">
        <v>5.353</v>
      </c>
      <c r="J63" s="24" t="n">
        <v>2.348e-07</v>
      </c>
    </row>
    <row r="64" ht="15.75" customHeight="1">
      <c r="A64" s="25" t="n">
        <v>5800</v>
      </c>
      <c r="B64" s="25" t="inlineStr">
        <is>
          <t>front_of_eyes_down_vertical</t>
        </is>
      </c>
      <c r="C64" s="25" t="n">
        <v>64.90000000000001</v>
      </c>
      <c r="D64" s="26" t="n">
        <v>0.05876</v>
      </c>
      <c r="E64" s="26" t="n">
        <v>0.1712</v>
      </c>
      <c r="F64" s="26" t="n">
        <v>0.08513</v>
      </c>
      <c r="G64" s="26" t="n">
        <v>0.0022033125798212</v>
      </c>
      <c r="H64" s="26" t="n">
        <v>1.86</v>
      </c>
      <c r="I64" s="26" t="n">
        <v>4.803</v>
      </c>
      <c r="J64" s="26" t="n">
        <v>4.667e-07</v>
      </c>
    </row>
    <row r="65" ht="16.5" customHeight="1" thickBot="1">
      <c r="A65" s="28" t="n">
        <v>5800</v>
      </c>
      <c r="B65" s="28" t="inlineStr">
        <is>
          <t>front_of_eyes_down_horizontal</t>
        </is>
      </c>
      <c r="C65" s="28" t="n">
        <v>64.90000000000001</v>
      </c>
      <c r="D65" s="29" t="n">
        <v>0.05965</v>
      </c>
      <c r="E65" s="29" t="n">
        <v>0.1489</v>
      </c>
      <c r="F65" s="29" t="n">
        <v>0.1012</v>
      </c>
      <c r="G65" s="29" t="n">
        <v>0.00148114190157668</v>
      </c>
      <c r="H65" s="29" t="n">
        <v>1.386</v>
      </c>
      <c r="I65" s="29" t="n">
        <v>4.874</v>
      </c>
      <c r="J65" s="29" t="n">
        <v>2.579e-07</v>
      </c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zoomScale="75" zoomScaleNormal="75" workbookViewId="0">
      <selection activeCell="H1" sqref="H1:J1"/>
    </sheetView>
  </sheetViews>
  <sheetFormatPr baseColWidth="10" defaultColWidth="8.6640625" defaultRowHeight="15"/>
  <cols>
    <col width="12.5" bestFit="1" customWidth="1" style="17" min="1" max="1"/>
    <col width="25" bestFit="1" customWidth="1" style="17" min="2" max="2"/>
    <col width="13.1640625" bestFit="1" customWidth="1" style="17" min="3" max="3"/>
    <col width="20" bestFit="1" customWidth="1" style="17" min="4" max="4"/>
    <col width="15.1640625" bestFit="1" customWidth="1" style="17" min="5" max="5"/>
    <col width="15.33203125" bestFit="1" customWidth="1" style="17" min="6" max="6"/>
    <col width="21" bestFit="1" customWidth="1" style="17" min="7" max="7"/>
    <col width="20" bestFit="1" customWidth="1" style="17" min="8" max="8"/>
    <col width="19.33203125" bestFit="1" customWidth="1" style="17" min="9" max="9"/>
    <col width="20" bestFit="1" customWidth="1" style="17" min="10" max="10"/>
    <col width="8.6640625" customWidth="1" style="17" min="11" max="16384"/>
  </cols>
  <sheetData>
    <row r="1" ht="16.5" customHeight="1" thickBot="1">
      <c r="A1" s="3" t="inlineStr">
        <is>
          <t>frequency_MHz</t>
        </is>
      </c>
      <c r="B1" s="3" t="inlineStr">
        <is>
          <t>placement</t>
        </is>
      </c>
      <c r="C1" s="4" t="inlineStr">
        <is>
          <t>Input Power  (W)</t>
        </is>
      </c>
      <c r="D1" s="4" t="inlineStr">
        <is>
          <t>SAR_wholebody (mW/kg)</t>
        </is>
      </c>
      <c r="E1" s="4" t="inlineStr">
        <is>
          <t>SAR_head (mW/kg)</t>
        </is>
      </c>
      <c r="F1" s="4" t="inlineStr">
        <is>
          <t>SAR_trunk (mW/kg)</t>
        </is>
      </c>
      <c r="G1" s="4" t="inlineStr">
        <is>
          <t>SAR averagedbrain(mW/kg)</t>
        </is>
      </c>
      <c r="H1" s="4" t="inlineStr">
        <is>
          <t>psSAR10g_eyes  (mW/kg)</t>
        </is>
      </c>
      <c r="I1" s="4" t="inlineStr">
        <is>
          <t>psSAR10g_skin (mW/kg)</t>
        </is>
      </c>
      <c r="J1" s="4" t="inlineStr">
        <is>
          <t>psSAR10g_brain (mW/kg)</t>
        </is>
      </c>
    </row>
    <row r="2" ht="14.25" customHeight="1">
      <c r="A2" s="5" t="n">
        <v>700</v>
      </c>
      <c r="B2" s="5" t="inlineStr">
        <is>
          <t>front_of_eyes_center_vertical</t>
        </is>
      </c>
      <c r="C2" s="5" t="n">
        <v>1</v>
      </c>
      <c r="D2" s="9">
        <f>normalized_results_detailed3834[[#This Row],[SAR_wholebody (mW/kg)]]*10^3/normalized_results_detailed3834[[#This Row],[Input Power  (mW)]]</f>
        <v/>
      </c>
      <c r="E2" s="9">
        <f>normalized_results_detailed3834[[#This Row],[SAR_head (mW/kg)]]*10^3/normalized_results_detailed3834[[#This Row],[Input Power  (mW)]]</f>
        <v/>
      </c>
      <c r="F2" s="9">
        <f>normalized_results_detailed3834[[#This Row],[SAR_trunk (mW/kg)]]*10^3/normalized_results_detailed3834[[#This Row],[Input Power  (mW)]]</f>
        <v/>
      </c>
      <c r="G2" s="9">
        <f>normalized_results_detailed3834[[#This Row],[SAR averagedbrain(mW/kg)]]*10^3/normalized_results_detailed3834[[#This Row],[Input Power  (mW)]]</f>
        <v/>
      </c>
      <c r="H2" s="9">
        <f>Ella_front!H2*10^3/normalized_results_detailed3834[[#This Row],[Input Power  (mW)]]</f>
        <v/>
      </c>
      <c r="I2" s="9">
        <f>Ella_front!I2*10^3/normalized_results_detailed3834[[#This Row],[Input Power  (mW)]]</f>
        <v/>
      </c>
      <c r="J2" s="9">
        <f>Ella_front!J2*10^3/normalized_results_detailed3834[[#This Row],[Input Power  (mW)]]</f>
        <v/>
      </c>
    </row>
    <row r="3" ht="15.75" customHeight="1">
      <c r="A3" s="58" t="n">
        <v>700</v>
      </c>
      <c r="B3" s="58" t="inlineStr">
        <is>
          <t>front_of_eyes_center_horizontal</t>
        </is>
      </c>
      <c r="C3" s="58" t="n">
        <v>1</v>
      </c>
      <c r="D3" s="59">
        <f>normalized_results_detailed3834[[#This Row],[SAR_wholebody (mW/kg)]]*10^3/normalized_results_detailed3834[[#This Row],[Input Power  (mW)]]</f>
        <v/>
      </c>
      <c r="E3" s="59">
        <f>normalized_results_detailed3834[[#This Row],[SAR_head (mW/kg)]]*10^3/normalized_results_detailed3834[[#This Row],[Input Power  (mW)]]</f>
        <v/>
      </c>
      <c r="F3" s="59">
        <f>normalized_results_detailed3834[[#This Row],[SAR_trunk (mW/kg)]]*10^3/normalized_results_detailed3834[[#This Row],[Input Power  (mW)]]</f>
        <v/>
      </c>
      <c r="G3" s="59">
        <f>normalized_results_detailed3834[[#This Row],[SAR averagedbrain(mW/kg)]]*10^3/normalized_results_detailed3834[[#This Row],[Input Power  (mW)]]</f>
        <v/>
      </c>
      <c r="H3" s="59">
        <f>Ella_front!H3*10^3/normalized_results_detailed3834[[#This Row],[Input Power  (mW)]]</f>
        <v/>
      </c>
      <c r="I3" s="59">
        <f>Ella_front!I3*10^3/normalized_results_detailed3834[[#This Row],[Input Power  (mW)]]</f>
        <v/>
      </c>
      <c r="J3" s="59">
        <f>Ella_front!J3*10^3/normalized_results_detailed3834[[#This Row],[Input Power  (mW)]]</f>
        <v/>
      </c>
    </row>
    <row r="4" ht="15.75" customHeight="1">
      <c r="A4" s="56" t="n">
        <v>700</v>
      </c>
      <c r="B4" s="56" t="inlineStr">
        <is>
          <t>front_of_eyes_left_vertical</t>
        </is>
      </c>
      <c r="C4" s="56" t="n">
        <v>1</v>
      </c>
      <c r="D4" s="57">
        <f>normalized_results_detailed3834[[#This Row],[SAR_wholebody (mW/kg)]]*10^3/normalized_results_detailed3834[[#This Row],[Input Power  (mW)]]</f>
        <v/>
      </c>
      <c r="E4" s="57">
        <f>normalized_results_detailed3834[[#This Row],[SAR_head (mW/kg)]]*10^3/normalized_results_detailed3834[[#This Row],[Input Power  (mW)]]</f>
        <v/>
      </c>
      <c r="F4" s="57">
        <f>normalized_results_detailed3834[[#This Row],[SAR_trunk (mW/kg)]]*10^3/normalized_results_detailed3834[[#This Row],[Input Power  (mW)]]</f>
        <v/>
      </c>
      <c r="G4" s="57">
        <f>normalized_results_detailed3834[[#This Row],[SAR averagedbrain(mW/kg)]]*10^3/normalized_results_detailed3834[[#This Row],[Input Power  (mW)]]</f>
        <v/>
      </c>
      <c r="H4" s="57">
        <f>Ella_front!H4*10^3/normalized_results_detailed3834[[#This Row],[Input Power  (mW)]]</f>
        <v/>
      </c>
      <c r="I4" s="57">
        <f>Ella_front!I4*10^3/normalized_results_detailed3834[[#This Row],[Input Power  (mW)]]</f>
        <v/>
      </c>
      <c r="J4" s="57">
        <f>Ella_front!J4*10^3/normalized_results_detailed3834[[#This Row],[Input Power  (mW)]]</f>
        <v/>
      </c>
    </row>
    <row r="5" ht="15.75" customHeight="1">
      <c r="A5" s="58" t="n">
        <v>700</v>
      </c>
      <c r="B5" s="58" t="inlineStr">
        <is>
          <t>front_of_eyes_left_horizontal</t>
        </is>
      </c>
      <c r="C5" s="58" t="n">
        <v>1</v>
      </c>
      <c r="D5" s="59">
        <f>normalized_results_detailed3834[[#This Row],[SAR_wholebody (mW/kg)]]*10^3/normalized_results_detailed3834[[#This Row],[Input Power  (mW)]]</f>
        <v/>
      </c>
      <c r="E5" s="59">
        <f>normalized_results_detailed3834[[#This Row],[SAR_head (mW/kg)]]*10^3/normalized_results_detailed3834[[#This Row],[Input Power  (mW)]]</f>
        <v/>
      </c>
      <c r="F5" s="59">
        <f>normalized_results_detailed3834[[#This Row],[SAR_trunk (mW/kg)]]*10^3/normalized_results_detailed3834[[#This Row],[Input Power  (mW)]]</f>
        <v/>
      </c>
      <c r="G5" s="59">
        <f>normalized_results_detailed3834[[#This Row],[SAR averagedbrain(mW/kg)]]*10^3/normalized_results_detailed3834[[#This Row],[Input Power  (mW)]]</f>
        <v/>
      </c>
      <c r="H5" s="59">
        <f>Ella_front!H5*10^3/normalized_results_detailed3834[[#This Row],[Input Power  (mW)]]</f>
        <v/>
      </c>
      <c r="I5" s="59">
        <f>Ella_front!I5*10^3/normalized_results_detailed3834[[#This Row],[Input Power  (mW)]]</f>
        <v/>
      </c>
      <c r="J5" s="59">
        <f>Ella_front!J5*10^3/normalized_results_detailed3834[[#This Row],[Input Power  (mW)]]</f>
        <v/>
      </c>
    </row>
    <row r="6" ht="15.75" customHeight="1">
      <c r="A6" s="56" t="n">
        <v>700</v>
      </c>
      <c r="B6" s="56" t="inlineStr">
        <is>
          <t>front_of_eyes_right_vertical</t>
        </is>
      </c>
      <c r="C6" s="56" t="n">
        <v>1</v>
      </c>
      <c r="D6" s="57">
        <f>normalized_results_detailed3834[[#This Row],[SAR_wholebody (mW/kg)]]*10^3/normalized_results_detailed3834[[#This Row],[Input Power  (mW)]]</f>
        <v/>
      </c>
      <c r="E6" s="57">
        <f>normalized_results_detailed3834[[#This Row],[SAR_head (mW/kg)]]*10^3/normalized_results_detailed3834[[#This Row],[Input Power  (mW)]]</f>
        <v/>
      </c>
      <c r="F6" s="57">
        <f>normalized_results_detailed3834[[#This Row],[SAR_trunk (mW/kg)]]*10^3/normalized_results_detailed3834[[#This Row],[Input Power  (mW)]]</f>
        <v/>
      </c>
      <c r="G6" s="57">
        <f>normalized_results_detailed3834[[#This Row],[SAR averagedbrain(mW/kg)]]*10^3/normalized_results_detailed3834[[#This Row],[Input Power  (mW)]]</f>
        <v/>
      </c>
      <c r="H6" s="57">
        <f>Ella_front!H6*10^3/normalized_results_detailed3834[[#This Row],[Input Power  (mW)]]</f>
        <v/>
      </c>
      <c r="I6" s="57">
        <f>Ella_front!I6*10^3/normalized_results_detailed3834[[#This Row],[Input Power  (mW)]]</f>
        <v/>
      </c>
      <c r="J6" s="57">
        <f>Ella_front!J6*10^3/normalized_results_detailed3834[[#This Row],[Input Power  (mW)]]</f>
        <v/>
      </c>
    </row>
    <row r="7" ht="15.75" customHeight="1">
      <c r="A7" s="58" t="n">
        <v>700</v>
      </c>
      <c r="B7" s="58" t="inlineStr">
        <is>
          <t>front_of_eyes_right_horizontal</t>
        </is>
      </c>
      <c r="C7" s="58" t="n">
        <v>1</v>
      </c>
      <c r="D7" s="59">
        <f>normalized_results_detailed3834[[#This Row],[SAR_wholebody (mW/kg)]]*10^3/normalized_results_detailed3834[[#This Row],[Input Power  (mW)]]</f>
        <v/>
      </c>
      <c r="E7" s="59">
        <f>normalized_results_detailed3834[[#This Row],[SAR_head (mW/kg)]]*10^3/normalized_results_detailed3834[[#This Row],[Input Power  (mW)]]</f>
        <v/>
      </c>
      <c r="F7" s="59">
        <f>normalized_results_detailed3834[[#This Row],[SAR_trunk (mW/kg)]]*10^3/normalized_results_detailed3834[[#This Row],[Input Power  (mW)]]</f>
        <v/>
      </c>
      <c r="G7" s="59">
        <f>normalized_results_detailed3834[[#This Row],[SAR averagedbrain(mW/kg)]]*10^3/normalized_results_detailed3834[[#This Row],[Input Power  (mW)]]</f>
        <v/>
      </c>
      <c r="H7" s="59">
        <f>Ella_front!H7*10^3/normalized_results_detailed3834[[#This Row],[Input Power  (mW)]]</f>
        <v/>
      </c>
      <c r="I7" s="59">
        <f>Ella_front!I7*10^3/normalized_results_detailed3834[[#This Row],[Input Power  (mW)]]</f>
        <v/>
      </c>
      <c r="J7" s="59">
        <f>Ella_front!J7*10^3/normalized_results_detailed3834[[#This Row],[Input Power  (mW)]]</f>
        <v/>
      </c>
    </row>
    <row r="8" ht="15.75" customHeight="1">
      <c r="A8" s="56" t="n">
        <v>700</v>
      </c>
      <c r="B8" s="56" t="inlineStr">
        <is>
          <t>front_of_eyes_down_vertical</t>
        </is>
      </c>
      <c r="C8" s="56" t="n">
        <v>1</v>
      </c>
      <c r="D8" s="57">
        <f>normalized_results_detailed3834[[#This Row],[SAR_wholebody (mW/kg)]]*10^3/normalized_results_detailed3834[[#This Row],[Input Power  (mW)]]</f>
        <v/>
      </c>
      <c r="E8" s="57">
        <f>normalized_results_detailed3834[[#This Row],[SAR_head (mW/kg)]]*10^3/normalized_results_detailed3834[[#This Row],[Input Power  (mW)]]</f>
        <v/>
      </c>
      <c r="F8" s="57">
        <f>normalized_results_detailed3834[[#This Row],[SAR_trunk (mW/kg)]]*10^3/normalized_results_detailed3834[[#This Row],[Input Power  (mW)]]</f>
        <v/>
      </c>
      <c r="G8" s="57">
        <f>normalized_results_detailed3834[[#This Row],[SAR averagedbrain(mW/kg)]]*10^3/normalized_results_detailed3834[[#This Row],[Input Power  (mW)]]</f>
        <v/>
      </c>
      <c r="H8" s="57">
        <f>Ella_front!H8*10^3/normalized_results_detailed3834[[#This Row],[Input Power  (mW)]]</f>
        <v/>
      </c>
      <c r="I8" s="57">
        <f>Ella_front!I8*10^3/normalized_results_detailed3834[[#This Row],[Input Power  (mW)]]</f>
        <v/>
      </c>
      <c r="J8" s="57">
        <f>Ella_front!J8*10^3/normalized_results_detailed3834[[#This Row],[Input Power  (mW)]]</f>
        <v/>
      </c>
    </row>
    <row r="9" ht="16.5" customHeight="1" thickBot="1">
      <c r="A9" s="8" t="n">
        <v>700</v>
      </c>
      <c r="B9" s="8" t="inlineStr">
        <is>
          <t>front_of_eyes_down_horizontal</t>
        </is>
      </c>
      <c r="C9" s="8" t="n">
        <v>1</v>
      </c>
      <c r="D9" s="12">
        <f>normalized_results_detailed3834[[#This Row],[SAR_wholebody (mW/kg)]]*10^3/normalized_results_detailed3834[[#This Row],[Input Power  (mW)]]</f>
        <v/>
      </c>
      <c r="E9" s="12">
        <f>normalized_results_detailed3834[[#This Row],[SAR_head (mW/kg)]]*10^3/normalized_results_detailed3834[[#This Row],[Input Power  (mW)]]</f>
        <v/>
      </c>
      <c r="F9" s="12">
        <f>normalized_results_detailed3834[[#This Row],[SAR_trunk (mW/kg)]]*10^3/normalized_results_detailed3834[[#This Row],[Input Power  (mW)]]</f>
        <v/>
      </c>
      <c r="G9" s="12">
        <f>normalized_results_detailed3834[[#This Row],[SAR averagedbrain(mW/kg)]]*10^3/normalized_results_detailed3834[[#This Row],[Input Power  (mW)]]</f>
        <v/>
      </c>
      <c r="H9" s="12">
        <f>Ella_front!H9*10^3/normalized_results_detailed3834[[#This Row],[Input Power  (mW)]]</f>
        <v/>
      </c>
      <c r="I9" s="12">
        <f>Ella_front!I9*10^3/normalized_results_detailed3834[[#This Row],[Input Power  (mW)]]</f>
        <v/>
      </c>
      <c r="J9" s="12">
        <f>Ella_front!J9*10^3/normalized_results_detailed3834[[#This Row],[Input Power  (mW)]]</f>
        <v/>
      </c>
    </row>
    <row r="10" ht="15.75" customHeight="1">
      <c r="A10" s="5" t="n">
        <v>835</v>
      </c>
      <c r="B10" s="5" t="inlineStr">
        <is>
          <t>front_of_eyes_center_vertical</t>
        </is>
      </c>
      <c r="C10" s="5" t="n">
        <v>1</v>
      </c>
      <c r="D10" s="9">
        <f>normalized_results_detailed3834[[#This Row],[SAR_wholebody (mW/kg)]]*10^3/normalized_results_detailed3834[[#This Row],[Input Power  (mW)]]</f>
        <v/>
      </c>
      <c r="E10" s="9">
        <f>normalized_results_detailed3834[[#This Row],[SAR_head (mW/kg)]]*10^3/normalized_results_detailed3834[[#This Row],[Input Power  (mW)]]</f>
        <v/>
      </c>
      <c r="F10" s="9">
        <f>normalized_results_detailed3834[[#This Row],[SAR_trunk (mW/kg)]]*10^3/normalized_results_detailed3834[[#This Row],[Input Power  (mW)]]</f>
        <v/>
      </c>
      <c r="G10" s="9">
        <f>normalized_results_detailed3834[[#This Row],[SAR averagedbrain(mW/kg)]]*10^3/normalized_results_detailed3834[[#This Row],[Input Power  (mW)]]</f>
        <v/>
      </c>
      <c r="H10" s="9">
        <f>Ella_front!H10*10^3/normalized_results_detailed3834[[#This Row],[Input Power  (mW)]]</f>
        <v/>
      </c>
      <c r="I10" s="9">
        <f>Ella_front!I10*10^3/normalized_results_detailed3834[[#This Row],[Input Power  (mW)]]</f>
        <v/>
      </c>
      <c r="J10" s="9">
        <f>Ella_front!J10*10^3/normalized_results_detailed3834[[#This Row],[Input Power  (mW)]]</f>
        <v/>
      </c>
    </row>
    <row r="11" ht="15.75" customHeight="1">
      <c r="A11" s="58" t="n">
        <v>835</v>
      </c>
      <c r="B11" s="58" t="inlineStr">
        <is>
          <t>front_of_eyes_center_horizontal</t>
        </is>
      </c>
      <c r="C11" s="58" t="n">
        <v>1</v>
      </c>
      <c r="D11" s="59">
        <f>normalized_results_detailed3834[[#This Row],[SAR_wholebody (mW/kg)]]*10^3/normalized_results_detailed3834[[#This Row],[Input Power  (mW)]]</f>
        <v/>
      </c>
      <c r="E11" s="59">
        <f>normalized_results_detailed3834[[#This Row],[SAR_head (mW/kg)]]*10^3/normalized_results_detailed3834[[#This Row],[Input Power  (mW)]]</f>
        <v/>
      </c>
      <c r="F11" s="59">
        <f>normalized_results_detailed3834[[#This Row],[SAR_trunk (mW/kg)]]*10^3/normalized_results_detailed3834[[#This Row],[Input Power  (mW)]]</f>
        <v/>
      </c>
      <c r="G11" s="59">
        <f>normalized_results_detailed3834[[#This Row],[SAR averagedbrain(mW/kg)]]*10^3/normalized_results_detailed3834[[#This Row],[Input Power  (mW)]]</f>
        <v/>
      </c>
      <c r="H11" s="59">
        <f>Ella_front!H11*10^3/normalized_results_detailed3834[[#This Row],[Input Power  (mW)]]</f>
        <v/>
      </c>
      <c r="I11" s="59">
        <f>Ella_front!I11*10^3/normalized_results_detailed3834[[#This Row],[Input Power  (mW)]]</f>
        <v/>
      </c>
      <c r="J11" s="59">
        <f>Ella_front!J11*10^3/normalized_results_detailed3834[[#This Row],[Input Power  (mW)]]</f>
        <v/>
      </c>
    </row>
    <row r="12" ht="15.75" customHeight="1">
      <c r="A12" s="56" t="n">
        <v>835</v>
      </c>
      <c r="B12" s="56" t="inlineStr">
        <is>
          <t>front_of_eyes_left_vertical</t>
        </is>
      </c>
      <c r="C12" s="56" t="n">
        <v>1</v>
      </c>
      <c r="D12" s="57">
        <f>normalized_results_detailed3834[[#This Row],[SAR_wholebody (mW/kg)]]*10^3/normalized_results_detailed3834[[#This Row],[Input Power  (mW)]]</f>
        <v/>
      </c>
      <c r="E12" s="57">
        <f>normalized_results_detailed3834[[#This Row],[SAR_head (mW/kg)]]*10^3/normalized_results_detailed3834[[#This Row],[Input Power  (mW)]]</f>
        <v/>
      </c>
      <c r="F12" s="57">
        <f>normalized_results_detailed3834[[#This Row],[SAR_trunk (mW/kg)]]*10^3/normalized_results_detailed3834[[#This Row],[Input Power  (mW)]]</f>
        <v/>
      </c>
      <c r="G12" s="57">
        <f>normalized_results_detailed3834[[#This Row],[SAR averagedbrain(mW/kg)]]*10^3/normalized_results_detailed3834[[#This Row],[Input Power  (mW)]]</f>
        <v/>
      </c>
      <c r="H12" s="57">
        <f>Ella_front!H12*10^3/normalized_results_detailed3834[[#This Row],[Input Power  (mW)]]</f>
        <v/>
      </c>
      <c r="I12" s="57">
        <f>Ella_front!I12*10^3/normalized_results_detailed3834[[#This Row],[Input Power  (mW)]]</f>
        <v/>
      </c>
      <c r="J12" s="57">
        <f>Ella_front!J12*10^3/normalized_results_detailed3834[[#This Row],[Input Power  (mW)]]</f>
        <v/>
      </c>
    </row>
    <row r="13" ht="15.75" customHeight="1">
      <c r="A13" s="58" t="n">
        <v>835</v>
      </c>
      <c r="B13" s="58" t="inlineStr">
        <is>
          <t>front_of_eyes_left_horizontal</t>
        </is>
      </c>
      <c r="C13" s="58" t="n">
        <v>1</v>
      </c>
      <c r="D13" s="59">
        <f>normalized_results_detailed3834[[#This Row],[SAR_wholebody (mW/kg)]]*10^3/normalized_results_detailed3834[[#This Row],[Input Power  (mW)]]</f>
        <v/>
      </c>
      <c r="E13" s="59">
        <f>normalized_results_detailed3834[[#This Row],[SAR_head (mW/kg)]]*10^3/normalized_results_detailed3834[[#This Row],[Input Power  (mW)]]</f>
        <v/>
      </c>
      <c r="F13" s="59">
        <f>normalized_results_detailed3834[[#This Row],[SAR_trunk (mW/kg)]]*10^3/normalized_results_detailed3834[[#This Row],[Input Power  (mW)]]</f>
        <v/>
      </c>
      <c r="G13" s="59">
        <f>normalized_results_detailed3834[[#This Row],[SAR averagedbrain(mW/kg)]]*10^3/normalized_results_detailed3834[[#This Row],[Input Power  (mW)]]</f>
        <v/>
      </c>
      <c r="H13" s="59">
        <f>Ella_front!H13*10^3/normalized_results_detailed3834[[#This Row],[Input Power  (mW)]]</f>
        <v/>
      </c>
      <c r="I13" s="59">
        <f>Ella_front!I13*10^3/normalized_results_detailed3834[[#This Row],[Input Power  (mW)]]</f>
        <v/>
      </c>
      <c r="J13" s="59">
        <f>Ella_front!J13*10^3/normalized_results_detailed3834[[#This Row],[Input Power  (mW)]]</f>
        <v/>
      </c>
    </row>
    <row r="14" ht="15.75" customHeight="1">
      <c r="A14" s="56" t="n">
        <v>835</v>
      </c>
      <c r="B14" s="56" t="inlineStr">
        <is>
          <t>front_of_eyes_right_vertical</t>
        </is>
      </c>
      <c r="C14" s="56" t="n">
        <v>1</v>
      </c>
      <c r="D14" s="57">
        <f>normalized_results_detailed3834[[#This Row],[SAR_wholebody (mW/kg)]]*10^3/normalized_results_detailed3834[[#This Row],[Input Power  (mW)]]</f>
        <v/>
      </c>
      <c r="E14" s="57">
        <f>normalized_results_detailed3834[[#This Row],[SAR_head (mW/kg)]]*10^3/normalized_results_detailed3834[[#This Row],[Input Power  (mW)]]</f>
        <v/>
      </c>
      <c r="F14" s="57">
        <f>normalized_results_detailed3834[[#This Row],[SAR_trunk (mW/kg)]]*10^3/normalized_results_detailed3834[[#This Row],[Input Power  (mW)]]</f>
        <v/>
      </c>
      <c r="G14" s="57">
        <f>normalized_results_detailed3834[[#This Row],[SAR averagedbrain(mW/kg)]]*10^3/normalized_results_detailed3834[[#This Row],[Input Power  (mW)]]</f>
        <v/>
      </c>
      <c r="H14" s="57">
        <f>Ella_front!H14*10^3/normalized_results_detailed3834[[#This Row],[Input Power  (mW)]]</f>
        <v/>
      </c>
      <c r="I14" s="57">
        <f>Ella_front!I14*10^3/normalized_results_detailed3834[[#This Row],[Input Power  (mW)]]</f>
        <v/>
      </c>
      <c r="J14" s="57">
        <f>Ella_front!J14*10^3/normalized_results_detailed3834[[#This Row],[Input Power  (mW)]]</f>
        <v/>
      </c>
    </row>
    <row r="15" ht="15.75" customHeight="1">
      <c r="A15" s="58" t="n">
        <v>835</v>
      </c>
      <c r="B15" s="58" t="inlineStr">
        <is>
          <t>front_of_eyes_right_horizontal</t>
        </is>
      </c>
      <c r="C15" s="58" t="n">
        <v>1</v>
      </c>
      <c r="D15" s="59">
        <f>normalized_results_detailed3834[[#This Row],[SAR_wholebody (mW/kg)]]*10^3/normalized_results_detailed3834[[#This Row],[Input Power  (mW)]]</f>
        <v/>
      </c>
      <c r="E15" s="59">
        <f>normalized_results_detailed3834[[#This Row],[SAR_head (mW/kg)]]*10^3/normalized_results_detailed3834[[#This Row],[Input Power  (mW)]]</f>
        <v/>
      </c>
      <c r="F15" s="59">
        <f>normalized_results_detailed3834[[#This Row],[SAR_trunk (mW/kg)]]*10^3/normalized_results_detailed3834[[#This Row],[Input Power  (mW)]]</f>
        <v/>
      </c>
      <c r="G15" s="59">
        <f>normalized_results_detailed3834[[#This Row],[SAR averagedbrain(mW/kg)]]*10^3/normalized_results_detailed3834[[#This Row],[Input Power  (mW)]]</f>
        <v/>
      </c>
      <c r="H15" s="59">
        <f>Ella_front!H15*10^3/normalized_results_detailed3834[[#This Row],[Input Power  (mW)]]</f>
        <v/>
      </c>
      <c r="I15" s="59">
        <f>Ella_front!I15*10^3/normalized_results_detailed3834[[#This Row],[Input Power  (mW)]]</f>
        <v/>
      </c>
      <c r="J15" s="59">
        <f>Ella_front!J15*10^3/normalized_results_detailed3834[[#This Row],[Input Power  (mW)]]</f>
        <v/>
      </c>
    </row>
    <row r="16" ht="15.75" customHeight="1">
      <c r="A16" s="56" t="n">
        <v>835</v>
      </c>
      <c r="B16" s="56" t="inlineStr">
        <is>
          <t>front_of_eyes_down_vertical</t>
        </is>
      </c>
      <c r="C16" s="56" t="n">
        <v>1</v>
      </c>
      <c r="D16" s="57">
        <f>normalized_results_detailed3834[[#This Row],[SAR_wholebody (mW/kg)]]*10^3/normalized_results_detailed3834[[#This Row],[Input Power  (mW)]]</f>
        <v/>
      </c>
      <c r="E16" s="57">
        <f>normalized_results_detailed3834[[#This Row],[SAR_head (mW/kg)]]*10^3/normalized_results_detailed3834[[#This Row],[Input Power  (mW)]]</f>
        <v/>
      </c>
      <c r="F16" s="57">
        <f>normalized_results_detailed3834[[#This Row],[SAR_trunk (mW/kg)]]*10^3/normalized_results_detailed3834[[#This Row],[Input Power  (mW)]]</f>
        <v/>
      </c>
      <c r="G16" s="57">
        <f>normalized_results_detailed3834[[#This Row],[SAR averagedbrain(mW/kg)]]*10^3/normalized_results_detailed3834[[#This Row],[Input Power  (mW)]]</f>
        <v/>
      </c>
      <c r="H16" s="57">
        <f>Ella_front!H16*10^3/normalized_results_detailed3834[[#This Row],[Input Power  (mW)]]</f>
        <v/>
      </c>
      <c r="I16" s="57">
        <f>Ella_front!I16*10^3/normalized_results_detailed3834[[#This Row],[Input Power  (mW)]]</f>
        <v/>
      </c>
      <c r="J16" s="57">
        <f>Ella_front!J16*10^3/normalized_results_detailed3834[[#This Row],[Input Power  (mW)]]</f>
        <v/>
      </c>
    </row>
    <row r="17" ht="16.5" customHeight="1" thickBot="1">
      <c r="A17" s="8" t="n">
        <v>835</v>
      </c>
      <c r="B17" s="8" t="inlineStr">
        <is>
          <t>front_of_eyes_down_horizontal</t>
        </is>
      </c>
      <c r="C17" s="8" t="n">
        <v>1</v>
      </c>
      <c r="D17" s="12">
        <f>normalized_results_detailed3834[[#This Row],[SAR_wholebody (mW/kg)]]*10^3/normalized_results_detailed3834[[#This Row],[Input Power  (mW)]]</f>
        <v/>
      </c>
      <c r="E17" s="12">
        <f>normalized_results_detailed3834[[#This Row],[SAR_head (mW/kg)]]*10^3/normalized_results_detailed3834[[#This Row],[Input Power  (mW)]]</f>
        <v/>
      </c>
      <c r="F17" s="12">
        <f>normalized_results_detailed3834[[#This Row],[SAR_trunk (mW/kg)]]*10^3/normalized_results_detailed3834[[#This Row],[Input Power  (mW)]]</f>
        <v/>
      </c>
      <c r="G17" s="12">
        <f>normalized_results_detailed3834[[#This Row],[SAR averagedbrain(mW/kg)]]*10^3/normalized_results_detailed3834[[#This Row],[Input Power  (mW)]]</f>
        <v/>
      </c>
      <c r="H17" s="12">
        <f>Ella_front!H17*10^3/normalized_results_detailed3834[[#This Row],[Input Power  (mW)]]</f>
        <v/>
      </c>
      <c r="I17" s="12">
        <f>Ella_front!I17*10^3/normalized_results_detailed3834[[#This Row],[Input Power  (mW)]]</f>
        <v/>
      </c>
      <c r="J17" s="12">
        <f>Ella_front!J17*10^3/normalized_results_detailed3834[[#This Row],[Input Power  (mW)]]</f>
        <v/>
      </c>
    </row>
    <row r="18" ht="15.75" customHeight="1">
      <c r="A18" s="5" t="n">
        <v>1450</v>
      </c>
      <c r="B18" s="5" t="inlineStr">
        <is>
          <t>front_of_eyes_center_vertical</t>
        </is>
      </c>
      <c r="C18" s="5" t="n">
        <v>1</v>
      </c>
      <c r="D18" s="9">
        <f>normalized_results_detailed3834[[#This Row],[SAR_wholebody (mW/kg)]]*10^3/normalized_results_detailed3834[[#This Row],[Input Power  (mW)]]</f>
        <v/>
      </c>
      <c r="E18" s="57">
        <f>normalized_results_detailed3834[[#This Row],[SAR_head (mW/kg)]]*10^3/normalized_results_detailed3834[[#This Row],[Input Power  (mW)]]</f>
        <v/>
      </c>
      <c r="F18" s="57">
        <f>normalized_results_detailed3834[[#This Row],[SAR_trunk (mW/kg)]]*10^3/normalized_results_detailed3834[[#This Row],[Input Power  (mW)]]</f>
        <v/>
      </c>
      <c r="G18" s="57">
        <f>normalized_results_detailed3834[[#This Row],[SAR averagedbrain(mW/kg)]]*10^3/normalized_results_detailed3834[[#This Row],[Input Power  (mW)]]</f>
        <v/>
      </c>
      <c r="H18" s="57">
        <f>Ella_front!H18*10^3/normalized_results_detailed3834[[#This Row],[Input Power  (mW)]]</f>
        <v/>
      </c>
      <c r="I18" s="57">
        <f>Ella_front!I18*10^3/normalized_results_detailed3834[[#This Row],[Input Power  (mW)]]</f>
        <v/>
      </c>
      <c r="J18" s="57">
        <f>Ella_front!J18*10^3/normalized_results_detailed3834[[#This Row],[Input Power  (mW)]]</f>
        <v/>
      </c>
    </row>
    <row r="19" ht="15.75" customHeight="1">
      <c r="A19" s="58" t="n">
        <v>1450</v>
      </c>
      <c r="B19" s="58" t="inlineStr">
        <is>
          <t>front_of_eyes_center_horizontal</t>
        </is>
      </c>
      <c r="C19" s="58" t="n">
        <v>1</v>
      </c>
      <c r="D19" s="59">
        <f>normalized_results_detailed3834[[#This Row],[SAR_wholebody (mW/kg)]]*10^3/normalized_results_detailed3834[[#This Row],[Input Power  (mW)]]</f>
        <v/>
      </c>
      <c r="E19" s="59">
        <f>normalized_results_detailed3834[[#This Row],[SAR_head (mW/kg)]]*10^3/normalized_results_detailed3834[[#This Row],[Input Power  (mW)]]</f>
        <v/>
      </c>
      <c r="F19" s="59">
        <f>normalized_results_detailed3834[[#This Row],[SAR_trunk (mW/kg)]]*10^3/normalized_results_detailed3834[[#This Row],[Input Power  (mW)]]</f>
        <v/>
      </c>
      <c r="G19" s="59">
        <f>normalized_results_detailed3834[[#This Row],[SAR averagedbrain(mW/kg)]]*10^3/normalized_results_detailed3834[[#This Row],[Input Power  (mW)]]</f>
        <v/>
      </c>
      <c r="H19" s="59">
        <f>Ella_front!H19*10^3/normalized_results_detailed3834[[#This Row],[Input Power  (mW)]]</f>
        <v/>
      </c>
      <c r="I19" s="59">
        <f>Ella_front!I19*10^3/normalized_results_detailed3834[[#This Row],[Input Power  (mW)]]</f>
        <v/>
      </c>
      <c r="J19" s="59">
        <f>Ella_front!J19*10^3/normalized_results_detailed3834[[#This Row],[Input Power  (mW)]]</f>
        <v/>
      </c>
    </row>
    <row r="20" ht="15.75" customHeight="1">
      <c r="A20" s="56" t="n">
        <v>1450</v>
      </c>
      <c r="B20" s="56" t="inlineStr">
        <is>
          <t>front_of_eyes_left_vertical</t>
        </is>
      </c>
      <c r="C20" s="56" t="n">
        <v>1</v>
      </c>
      <c r="D20" s="57">
        <f>normalized_results_detailed3834[[#This Row],[SAR_wholebody (mW/kg)]]*10^3/normalized_results_detailed3834[[#This Row],[Input Power  (mW)]]</f>
        <v/>
      </c>
      <c r="E20" s="57">
        <f>normalized_results_detailed3834[[#This Row],[SAR_head (mW/kg)]]*10^3/normalized_results_detailed3834[[#This Row],[Input Power  (mW)]]</f>
        <v/>
      </c>
      <c r="F20" s="57">
        <f>normalized_results_detailed3834[[#This Row],[SAR_trunk (mW/kg)]]*10^3/normalized_results_detailed3834[[#This Row],[Input Power  (mW)]]</f>
        <v/>
      </c>
      <c r="G20" s="57">
        <f>normalized_results_detailed3834[[#This Row],[SAR averagedbrain(mW/kg)]]*10^3/normalized_results_detailed3834[[#This Row],[Input Power  (mW)]]</f>
        <v/>
      </c>
      <c r="H20" s="57">
        <f>Ella_front!H20*10^3/normalized_results_detailed3834[[#This Row],[Input Power  (mW)]]</f>
        <v/>
      </c>
      <c r="I20" s="57">
        <f>Ella_front!I20*10^3/normalized_results_detailed3834[[#This Row],[Input Power  (mW)]]</f>
        <v/>
      </c>
      <c r="J20" s="57">
        <f>Ella_front!J20*10^3/normalized_results_detailed3834[[#This Row],[Input Power  (mW)]]</f>
        <v/>
      </c>
    </row>
    <row r="21" ht="15.75" customHeight="1">
      <c r="A21" s="58" t="n">
        <v>1450</v>
      </c>
      <c r="B21" s="58" t="inlineStr">
        <is>
          <t>front_of_eyes_left_horizontal</t>
        </is>
      </c>
      <c r="C21" s="58" t="n">
        <v>1</v>
      </c>
      <c r="D21" s="59">
        <f>normalized_results_detailed3834[[#This Row],[SAR_wholebody (mW/kg)]]*10^3/normalized_results_detailed3834[[#This Row],[Input Power  (mW)]]</f>
        <v/>
      </c>
      <c r="E21" s="59">
        <f>normalized_results_detailed3834[[#This Row],[SAR_head (mW/kg)]]*10^3/normalized_results_detailed3834[[#This Row],[Input Power  (mW)]]</f>
        <v/>
      </c>
      <c r="F21" s="59">
        <f>normalized_results_detailed3834[[#This Row],[SAR_trunk (mW/kg)]]*10^3/normalized_results_detailed3834[[#This Row],[Input Power  (mW)]]</f>
        <v/>
      </c>
      <c r="G21" s="59">
        <f>normalized_results_detailed3834[[#This Row],[SAR averagedbrain(mW/kg)]]*10^3/normalized_results_detailed3834[[#This Row],[Input Power  (mW)]]</f>
        <v/>
      </c>
      <c r="H21" s="59">
        <f>Ella_front!H21*10^3/normalized_results_detailed3834[[#This Row],[Input Power  (mW)]]</f>
        <v/>
      </c>
      <c r="I21" s="59">
        <f>Ella_front!I21*10^3/normalized_results_detailed3834[[#This Row],[Input Power  (mW)]]</f>
        <v/>
      </c>
      <c r="J21" s="59">
        <f>Ella_front!J21*10^3/normalized_results_detailed3834[[#This Row],[Input Power  (mW)]]</f>
        <v/>
      </c>
    </row>
    <row r="22" ht="15.75" customHeight="1">
      <c r="A22" s="56" t="n">
        <v>1450</v>
      </c>
      <c r="B22" s="56" t="inlineStr">
        <is>
          <t>front_of_eyes_right_vertical</t>
        </is>
      </c>
      <c r="C22" s="56" t="n">
        <v>1</v>
      </c>
      <c r="D22" s="57">
        <f>normalized_results_detailed3834[[#This Row],[SAR_wholebody (mW/kg)]]*10^3/normalized_results_detailed3834[[#This Row],[Input Power  (mW)]]</f>
        <v/>
      </c>
      <c r="E22" s="57">
        <f>normalized_results_detailed3834[[#This Row],[SAR_head (mW/kg)]]*10^3/normalized_results_detailed3834[[#This Row],[Input Power  (mW)]]</f>
        <v/>
      </c>
      <c r="F22" s="57">
        <f>normalized_results_detailed3834[[#This Row],[SAR_trunk (mW/kg)]]*10^3/normalized_results_detailed3834[[#This Row],[Input Power  (mW)]]</f>
        <v/>
      </c>
      <c r="G22" s="57">
        <f>normalized_results_detailed3834[[#This Row],[SAR averagedbrain(mW/kg)]]*10^3/normalized_results_detailed3834[[#This Row],[Input Power  (mW)]]</f>
        <v/>
      </c>
      <c r="H22" s="57">
        <f>Ella_front!H22*10^3/normalized_results_detailed3834[[#This Row],[Input Power  (mW)]]</f>
        <v/>
      </c>
      <c r="I22" s="57">
        <f>Ella_front!I22*10^3/normalized_results_detailed3834[[#This Row],[Input Power  (mW)]]</f>
        <v/>
      </c>
      <c r="J22" s="57">
        <f>Ella_front!J22*10^3/normalized_results_detailed3834[[#This Row],[Input Power  (mW)]]</f>
        <v/>
      </c>
    </row>
    <row r="23" ht="15.75" customHeight="1">
      <c r="A23" s="58" t="n">
        <v>1450</v>
      </c>
      <c r="B23" s="58" t="inlineStr">
        <is>
          <t>front_of_eyes_right_horizontal</t>
        </is>
      </c>
      <c r="C23" s="58" t="n">
        <v>1</v>
      </c>
      <c r="D23" s="59">
        <f>normalized_results_detailed3834[[#This Row],[SAR_wholebody (mW/kg)]]*10^3/normalized_results_detailed3834[[#This Row],[Input Power  (mW)]]</f>
        <v/>
      </c>
      <c r="E23" s="59">
        <f>normalized_results_detailed3834[[#This Row],[SAR_head (mW/kg)]]*10^3/normalized_results_detailed3834[[#This Row],[Input Power  (mW)]]</f>
        <v/>
      </c>
      <c r="F23" s="59">
        <f>normalized_results_detailed3834[[#This Row],[SAR_trunk (mW/kg)]]*10^3/normalized_results_detailed3834[[#This Row],[Input Power  (mW)]]</f>
        <v/>
      </c>
      <c r="G23" s="59">
        <f>normalized_results_detailed3834[[#This Row],[SAR averagedbrain(mW/kg)]]*10^3/normalized_results_detailed3834[[#This Row],[Input Power  (mW)]]</f>
        <v/>
      </c>
      <c r="H23" s="59">
        <f>Ella_front!H23*10^3/normalized_results_detailed3834[[#This Row],[Input Power  (mW)]]</f>
        <v/>
      </c>
      <c r="I23" s="59">
        <f>Ella_front!I23*10^3/normalized_results_detailed3834[[#This Row],[Input Power  (mW)]]</f>
        <v/>
      </c>
      <c r="J23" s="59">
        <f>Ella_front!J23*10^3/normalized_results_detailed3834[[#This Row],[Input Power  (mW)]]</f>
        <v/>
      </c>
    </row>
    <row r="24" ht="15.75" customHeight="1">
      <c r="A24" s="56" t="n">
        <v>1450</v>
      </c>
      <c r="B24" s="56" t="inlineStr">
        <is>
          <t>front_of_eyes_down_vertical</t>
        </is>
      </c>
      <c r="C24" s="56" t="n">
        <v>1</v>
      </c>
      <c r="D24" s="57">
        <f>normalized_results_detailed3834[[#This Row],[SAR_wholebody (mW/kg)]]*10^3/normalized_results_detailed3834[[#This Row],[Input Power  (mW)]]</f>
        <v/>
      </c>
      <c r="E24" s="57">
        <f>normalized_results_detailed3834[[#This Row],[SAR_head (mW/kg)]]*10^3/normalized_results_detailed3834[[#This Row],[Input Power  (mW)]]</f>
        <v/>
      </c>
      <c r="F24" s="57">
        <f>normalized_results_detailed3834[[#This Row],[SAR_trunk (mW/kg)]]*10^3/normalized_results_detailed3834[[#This Row],[Input Power  (mW)]]</f>
        <v/>
      </c>
      <c r="G24" s="57">
        <f>normalized_results_detailed3834[[#This Row],[SAR averagedbrain(mW/kg)]]*10^3/normalized_results_detailed3834[[#This Row],[Input Power  (mW)]]</f>
        <v/>
      </c>
      <c r="H24" s="57">
        <f>Ella_front!H24*10^3/normalized_results_detailed3834[[#This Row],[Input Power  (mW)]]</f>
        <v/>
      </c>
      <c r="I24" s="57">
        <f>Ella_front!I24*10^3/normalized_results_detailed3834[[#This Row],[Input Power  (mW)]]</f>
        <v/>
      </c>
      <c r="J24" s="57">
        <f>Ella_front!J24*10^3/normalized_results_detailed3834[[#This Row],[Input Power  (mW)]]</f>
        <v/>
      </c>
    </row>
    <row r="25" ht="16.5" customHeight="1" thickBot="1">
      <c r="A25" s="8" t="n">
        <v>1450</v>
      </c>
      <c r="B25" s="8" t="inlineStr">
        <is>
          <t>front_of_eyes_down_horizontal</t>
        </is>
      </c>
      <c r="C25" s="8" t="n">
        <v>1</v>
      </c>
      <c r="D25" s="12">
        <f>normalized_results_detailed3834[[#This Row],[SAR_wholebody (mW/kg)]]*10^3/normalized_results_detailed3834[[#This Row],[Input Power  (mW)]]</f>
        <v/>
      </c>
      <c r="E25" s="12">
        <f>normalized_results_detailed3834[[#This Row],[SAR_head (mW/kg)]]*10^3/normalized_results_detailed3834[[#This Row],[Input Power  (mW)]]</f>
        <v/>
      </c>
      <c r="F25" s="12">
        <f>normalized_results_detailed3834[[#This Row],[SAR_trunk (mW/kg)]]*10^3/normalized_results_detailed3834[[#This Row],[Input Power  (mW)]]</f>
        <v/>
      </c>
      <c r="G25" s="12">
        <f>normalized_results_detailed3834[[#This Row],[SAR averagedbrain(mW/kg)]]*10^3/normalized_results_detailed3834[[#This Row],[Input Power  (mW)]]</f>
        <v/>
      </c>
      <c r="H25" s="12">
        <f>Ella_front!H25*10^3/normalized_results_detailed3834[[#This Row],[Input Power  (mW)]]</f>
        <v/>
      </c>
      <c r="I25" s="12">
        <f>Ella_front!I25*10^3/normalized_results_detailed3834[[#This Row],[Input Power  (mW)]]</f>
        <v/>
      </c>
      <c r="J25" s="12">
        <f>Ella_front!J25*10^3/normalized_results_detailed3834[[#This Row],[Input Power  (mW)]]</f>
        <v/>
      </c>
    </row>
    <row r="26" ht="15.75" customHeight="1">
      <c r="A26" s="5" t="n">
        <v>2140</v>
      </c>
      <c r="B26" s="5" t="inlineStr">
        <is>
          <t>front_of_eyes_center_vertical</t>
        </is>
      </c>
      <c r="C26" s="5" t="n">
        <v>1</v>
      </c>
      <c r="D26" s="9">
        <f>normalized_results_detailed3834[[#This Row],[SAR_wholebody (mW/kg)]]*10^3/normalized_results_detailed3834[[#This Row],[Input Power  (mW)]]</f>
        <v/>
      </c>
      <c r="E26" s="57">
        <f>normalized_results_detailed3834[[#This Row],[SAR_head (mW/kg)]]*10^3/normalized_results_detailed3834[[#This Row],[Input Power  (mW)]]</f>
        <v/>
      </c>
      <c r="F26" s="57">
        <f>normalized_results_detailed3834[[#This Row],[SAR_trunk (mW/kg)]]*10^3/normalized_results_detailed3834[[#This Row],[Input Power  (mW)]]</f>
        <v/>
      </c>
      <c r="G26" s="57">
        <f>normalized_results_detailed3834[[#This Row],[SAR averagedbrain(mW/kg)]]*10^3/normalized_results_detailed3834[[#This Row],[Input Power  (mW)]]</f>
        <v/>
      </c>
      <c r="H26" s="57">
        <f>Ella_front!H26*10^3/normalized_results_detailed3834[[#This Row],[Input Power  (mW)]]</f>
        <v/>
      </c>
      <c r="I26" s="57">
        <f>Ella_front!I26*10^3/normalized_results_detailed3834[[#This Row],[Input Power  (mW)]]</f>
        <v/>
      </c>
      <c r="J26" s="57">
        <f>Ella_front!J26*10^3/normalized_results_detailed3834[[#This Row],[Input Power  (mW)]]</f>
        <v/>
      </c>
    </row>
    <row r="27" ht="15.75" customHeight="1">
      <c r="A27" s="58" t="n">
        <v>2140</v>
      </c>
      <c r="B27" s="58" t="inlineStr">
        <is>
          <t>front_of_eyes_center_horizontal</t>
        </is>
      </c>
      <c r="C27" s="58" t="n">
        <v>1</v>
      </c>
      <c r="D27" s="59">
        <f>normalized_results_detailed3834[[#This Row],[SAR_wholebody (mW/kg)]]*10^3/normalized_results_detailed3834[[#This Row],[Input Power  (mW)]]</f>
        <v/>
      </c>
      <c r="E27" s="59">
        <f>normalized_results_detailed3834[[#This Row],[SAR_head (mW/kg)]]*10^3/normalized_results_detailed3834[[#This Row],[Input Power  (mW)]]</f>
        <v/>
      </c>
      <c r="F27" s="59">
        <f>normalized_results_detailed3834[[#This Row],[SAR_trunk (mW/kg)]]*10^3/normalized_results_detailed3834[[#This Row],[Input Power  (mW)]]</f>
        <v/>
      </c>
      <c r="G27" s="59">
        <f>normalized_results_detailed3834[[#This Row],[SAR averagedbrain(mW/kg)]]*10^3/normalized_results_detailed3834[[#This Row],[Input Power  (mW)]]</f>
        <v/>
      </c>
      <c r="H27" s="59">
        <f>Ella_front!H27*10^3/normalized_results_detailed3834[[#This Row],[Input Power  (mW)]]</f>
        <v/>
      </c>
      <c r="I27" s="59">
        <f>Ella_front!I27*10^3/normalized_results_detailed3834[[#This Row],[Input Power  (mW)]]</f>
        <v/>
      </c>
      <c r="J27" s="59">
        <f>Ella_front!J27*10^3/normalized_results_detailed3834[[#This Row],[Input Power  (mW)]]</f>
        <v/>
      </c>
    </row>
    <row r="28" ht="15.75" customHeight="1">
      <c r="A28" s="56" t="n">
        <v>2140</v>
      </c>
      <c r="B28" s="56" t="inlineStr">
        <is>
          <t>front_of_eyes_left_vertical</t>
        </is>
      </c>
      <c r="C28" s="56" t="n">
        <v>1</v>
      </c>
      <c r="D28" s="57">
        <f>normalized_results_detailed3834[[#This Row],[SAR_wholebody (mW/kg)]]*10^3/normalized_results_detailed3834[[#This Row],[Input Power  (mW)]]</f>
        <v/>
      </c>
      <c r="E28" s="57">
        <f>normalized_results_detailed3834[[#This Row],[SAR_head (mW/kg)]]*10^3/normalized_results_detailed3834[[#This Row],[Input Power  (mW)]]</f>
        <v/>
      </c>
      <c r="F28" s="57">
        <f>normalized_results_detailed3834[[#This Row],[SAR_trunk (mW/kg)]]*10^3/normalized_results_detailed3834[[#This Row],[Input Power  (mW)]]</f>
        <v/>
      </c>
      <c r="G28" s="57">
        <f>normalized_results_detailed3834[[#This Row],[SAR averagedbrain(mW/kg)]]*10^3/normalized_results_detailed3834[[#This Row],[Input Power  (mW)]]</f>
        <v/>
      </c>
      <c r="H28" s="57">
        <f>Ella_front!H28*10^3/normalized_results_detailed3834[[#This Row],[Input Power  (mW)]]</f>
        <v/>
      </c>
      <c r="I28" s="57">
        <f>Ella_front!I28*10^3/normalized_results_detailed3834[[#This Row],[Input Power  (mW)]]</f>
        <v/>
      </c>
      <c r="J28" s="57">
        <f>Ella_front!J28*10^3/normalized_results_detailed3834[[#This Row],[Input Power  (mW)]]</f>
        <v/>
      </c>
    </row>
    <row r="29" ht="15.75" customHeight="1">
      <c r="A29" s="58" t="n">
        <v>2140</v>
      </c>
      <c r="B29" s="58" t="inlineStr">
        <is>
          <t>front_of_eyes_left_horizontal</t>
        </is>
      </c>
      <c r="C29" s="58" t="n">
        <v>1</v>
      </c>
      <c r="D29" s="59">
        <f>normalized_results_detailed3834[[#This Row],[SAR_wholebody (mW/kg)]]*10^3/normalized_results_detailed3834[[#This Row],[Input Power  (mW)]]</f>
        <v/>
      </c>
      <c r="E29" s="59">
        <f>normalized_results_detailed3834[[#This Row],[SAR_head (mW/kg)]]*10^3/normalized_results_detailed3834[[#This Row],[Input Power  (mW)]]</f>
        <v/>
      </c>
      <c r="F29" s="59">
        <f>normalized_results_detailed3834[[#This Row],[SAR_trunk (mW/kg)]]*10^3/normalized_results_detailed3834[[#This Row],[Input Power  (mW)]]</f>
        <v/>
      </c>
      <c r="G29" s="59">
        <f>normalized_results_detailed3834[[#This Row],[SAR averagedbrain(mW/kg)]]*10^3/normalized_results_detailed3834[[#This Row],[Input Power  (mW)]]</f>
        <v/>
      </c>
      <c r="H29" s="59">
        <f>Ella_front!H29*10^3/normalized_results_detailed3834[[#This Row],[Input Power  (mW)]]</f>
        <v/>
      </c>
      <c r="I29" s="59">
        <f>Ella_front!I29*10^3/normalized_results_detailed3834[[#This Row],[Input Power  (mW)]]</f>
        <v/>
      </c>
      <c r="J29" s="59">
        <f>Ella_front!J29*10^3/normalized_results_detailed3834[[#This Row],[Input Power  (mW)]]</f>
        <v/>
      </c>
    </row>
    <row r="30" ht="15.75" customHeight="1">
      <c r="A30" s="56" t="n">
        <v>2140</v>
      </c>
      <c r="B30" s="56" t="inlineStr">
        <is>
          <t>front_of_eyes_right_vertical</t>
        </is>
      </c>
      <c r="C30" s="56" t="n">
        <v>1</v>
      </c>
      <c r="D30" s="57">
        <f>normalized_results_detailed3834[[#This Row],[SAR_wholebody (mW/kg)]]*10^3/normalized_results_detailed3834[[#This Row],[Input Power  (mW)]]</f>
        <v/>
      </c>
      <c r="E30" s="57">
        <f>normalized_results_detailed3834[[#This Row],[SAR_head (mW/kg)]]*10^3/normalized_results_detailed3834[[#This Row],[Input Power  (mW)]]</f>
        <v/>
      </c>
      <c r="F30" s="57">
        <f>normalized_results_detailed3834[[#This Row],[SAR_trunk (mW/kg)]]*10^3/normalized_results_detailed3834[[#This Row],[Input Power  (mW)]]</f>
        <v/>
      </c>
      <c r="G30" s="57">
        <f>normalized_results_detailed3834[[#This Row],[SAR averagedbrain(mW/kg)]]*10^3/normalized_results_detailed3834[[#This Row],[Input Power  (mW)]]</f>
        <v/>
      </c>
      <c r="H30" s="57">
        <f>Ella_front!H30*10^3/normalized_results_detailed3834[[#This Row],[Input Power  (mW)]]</f>
        <v/>
      </c>
      <c r="I30" s="57">
        <f>Ella_front!I30*10^3/normalized_results_detailed3834[[#This Row],[Input Power  (mW)]]</f>
        <v/>
      </c>
      <c r="J30" s="57">
        <f>Ella_front!J30*10^3/normalized_results_detailed3834[[#This Row],[Input Power  (mW)]]</f>
        <v/>
      </c>
    </row>
    <row r="31" ht="15.75" customHeight="1">
      <c r="A31" s="58" t="n">
        <v>2140</v>
      </c>
      <c r="B31" s="58" t="inlineStr">
        <is>
          <t>front_of_eyes_right_horizontal</t>
        </is>
      </c>
      <c r="C31" s="58" t="n">
        <v>1</v>
      </c>
      <c r="D31" s="59">
        <f>normalized_results_detailed3834[[#This Row],[SAR_wholebody (mW/kg)]]*10^3/normalized_results_detailed3834[[#This Row],[Input Power  (mW)]]</f>
        <v/>
      </c>
      <c r="E31" s="59">
        <f>normalized_results_detailed3834[[#This Row],[SAR_head (mW/kg)]]*10^3/normalized_results_detailed3834[[#This Row],[Input Power  (mW)]]</f>
        <v/>
      </c>
      <c r="F31" s="59">
        <f>normalized_results_detailed3834[[#This Row],[SAR_trunk (mW/kg)]]*10^3/normalized_results_detailed3834[[#This Row],[Input Power  (mW)]]</f>
        <v/>
      </c>
      <c r="G31" s="59">
        <f>normalized_results_detailed3834[[#This Row],[SAR averagedbrain(mW/kg)]]*10^3/normalized_results_detailed3834[[#This Row],[Input Power  (mW)]]</f>
        <v/>
      </c>
      <c r="H31" s="59">
        <f>Ella_front!H31*10^3/normalized_results_detailed3834[[#This Row],[Input Power  (mW)]]</f>
        <v/>
      </c>
      <c r="I31" s="59">
        <f>Ella_front!I31*10^3/normalized_results_detailed3834[[#This Row],[Input Power  (mW)]]</f>
        <v/>
      </c>
      <c r="J31" s="59">
        <f>Ella_front!J31*10^3/normalized_results_detailed3834[[#This Row],[Input Power  (mW)]]</f>
        <v/>
      </c>
    </row>
    <row r="32" ht="15.75" customHeight="1">
      <c r="A32" s="56" t="n">
        <v>2140</v>
      </c>
      <c r="B32" s="56" t="inlineStr">
        <is>
          <t>front_of_eyes_down_vertical</t>
        </is>
      </c>
      <c r="C32" s="56" t="n">
        <v>1</v>
      </c>
      <c r="D32" s="57">
        <f>normalized_results_detailed3834[[#This Row],[SAR_wholebody (mW/kg)]]*10^3/normalized_results_detailed3834[[#This Row],[Input Power  (mW)]]</f>
        <v/>
      </c>
      <c r="E32" s="57">
        <f>normalized_results_detailed3834[[#This Row],[SAR_head (mW/kg)]]*10^3/normalized_results_detailed3834[[#This Row],[Input Power  (mW)]]</f>
        <v/>
      </c>
      <c r="F32" s="57">
        <f>normalized_results_detailed3834[[#This Row],[SAR_trunk (mW/kg)]]*10^3/normalized_results_detailed3834[[#This Row],[Input Power  (mW)]]</f>
        <v/>
      </c>
      <c r="G32" s="57">
        <f>normalized_results_detailed3834[[#This Row],[SAR averagedbrain(mW/kg)]]*10^3/normalized_results_detailed3834[[#This Row],[Input Power  (mW)]]</f>
        <v/>
      </c>
      <c r="H32" s="57">
        <f>Ella_front!H32*10^3/normalized_results_detailed3834[[#This Row],[Input Power  (mW)]]</f>
        <v/>
      </c>
      <c r="I32" s="57">
        <f>Ella_front!I32*10^3/normalized_results_detailed3834[[#This Row],[Input Power  (mW)]]</f>
        <v/>
      </c>
      <c r="J32" s="57">
        <f>Ella_front!J32*10^3/normalized_results_detailed3834[[#This Row],[Input Power  (mW)]]</f>
        <v/>
      </c>
    </row>
    <row r="33" ht="16.5" customHeight="1" thickBot="1">
      <c r="A33" s="8" t="n">
        <v>2140</v>
      </c>
      <c r="B33" s="8" t="inlineStr">
        <is>
          <t>front_of_eyes_down_horizontal</t>
        </is>
      </c>
      <c r="C33" s="8" t="n">
        <v>1</v>
      </c>
      <c r="D33" s="12">
        <f>normalized_results_detailed3834[[#This Row],[SAR_wholebody (mW/kg)]]*10^3/normalized_results_detailed3834[[#This Row],[Input Power  (mW)]]</f>
        <v/>
      </c>
      <c r="E33" s="12">
        <f>normalized_results_detailed3834[[#This Row],[SAR_head (mW/kg)]]*10^3/normalized_results_detailed3834[[#This Row],[Input Power  (mW)]]</f>
        <v/>
      </c>
      <c r="F33" s="12">
        <f>normalized_results_detailed3834[[#This Row],[SAR_trunk (mW/kg)]]*10^3/normalized_results_detailed3834[[#This Row],[Input Power  (mW)]]</f>
        <v/>
      </c>
      <c r="G33" s="12">
        <f>normalized_results_detailed3834[[#This Row],[SAR averagedbrain(mW/kg)]]*10^3/normalized_results_detailed3834[[#This Row],[Input Power  (mW)]]</f>
        <v/>
      </c>
      <c r="H33" s="12">
        <f>Ella_front!H33*10^3/normalized_results_detailed3834[[#This Row],[Input Power  (mW)]]</f>
        <v/>
      </c>
      <c r="I33" s="12">
        <f>Ella_front!I33*10^3/normalized_results_detailed3834[[#This Row],[Input Power  (mW)]]</f>
        <v/>
      </c>
      <c r="J33" s="12">
        <f>Ella_front!J33*10^3/normalized_results_detailed3834[[#This Row],[Input Power  (mW)]]</f>
        <v/>
      </c>
    </row>
    <row r="34" ht="15.75" customHeight="1">
      <c r="A34" s="5" t="n">
        <v>2450</v>
      </c>
      <c r="B34" s="5" t="inlineStr">
        <is>
          <t>front_of_eyes_center_vertical</t>
        </is>
      </c>
      <c r="C34" s="5" t="n">
        <v>1</v>
      </c>
      <c r="D34" s="9">
        <f>normalized_results_detailed3834[[#This Row],[SAR_wholebody (mW/kg)]]*10^3/normalized_results_detailed3834[[#This Row],[Input Power  (mW)]]</f>
        <v/>
      </c>
      <c r="E34" s="9">
        <f>normalized_results_detailed3834[[#This Row],[SAR_head (mW/kg)]]*10^3/normalized_results_detailed3834[[#This Row],[Input Power  (mW)]]</f>
        <v/>
      </c>
      <c r="F34" s="9">
        <f>normalized_results_detailed3834[[#This Row],[SAR_trunk (mW/kg)]]*10^3/normalized_results_detailed3834[[#This Row],[Input Power  (mW)]]</f>
        <v/>
      </c>
      <c r="G34" s="9">
        <f>normalized_results_detailed3834[[#This Row],[SAR averagedbrain(mW/kg)]]*10^3/normalized_results_detailed3834[[#This Row],[Input Power  (mW)]]</f>
        <v/>
      </c>
      <c r="H34" s="9">
        <f>Ella_front!H34*10^3/normalized_results_detailed3834[[#This Row],[Input Power  (mW)]]</f>
        <v/>
      </c>
      <c r="I34" s="9">
        <f>Ella_front!I34*10^3/normalized_results_detailed3834[[#This Row],[Input Power  (mW)]]</f>
        <v/>
      </c>
      <c r="J34" s="9">
        <f>Ella_front!J34*10^3/normalized_results_detailed3834[[#This Row],[Input Power  (mW)]]</f>
        <v/>
      </c>
    </row>
    <row r="35" ht="15.75" customHeight="1">
      <c r="A35" s="58" t="n">
        <v>2450</v>
      </c>
      <c r="B35" s="58" t="inlineStr">
        <is>
          <t>front_of_eyes_center_horizontal</t>
        </is>
      </c>
      <c r="C35" s="58" t="n">
        <v>1</v>
      </c>
      <c r="D35" s="59">
        <f>normalized_results_detailed3834[[#This Row],[SAR_wholebody (mW/kg)]]*10^3/normalized_results_detailed3834[[#This Row],[Input Power  (mW)]]</f>
        <v/>
      </c>
      <c r="E35" s="59">
        <f>normalized_results_detailed3834[[#This Row],[SAR_head (mW/kg)]]*10^3/normalized_results_detailed3834[[#This Row],[Input Power  (mW)]]</f>
        <v/>
      </c>
      <c r="F35" s="59">
        <f>normalized_results_detailed3834[[#This Row],[SAR_trunk (mW/kg)]]*10^3/normalized_results_detailed3834[[#This Row],[Input Power  (mW)]]</f>
        <v/>
      </c>
      <c r="G35" s="59">
        <f>normalized_results_detailed3834[[#This Row],[SAR averagedbrain(mW/kg)]]*10^3/normalized_results_detailed3834[[#This Row],[Input Power  (mW)]]</f>
        <v/>
      </c>
      <c r="H35" s="59">
        <f>Ella_front!H35*10^3/normalized_results_detailed3834[[#This Row],[Input Power  (mW)]]</f>
        <v/>
      </c>
      <c r="I35" s="59">
        <f>Ella_front!I35*10^3/normalized_results_detailed3834[[#This Row],[Input Power  (mW)]]</f>
        <v/>
      </c>
      <c r="J35" s="59">
        <f>Ella_front!J35*10^3/normalized_results_detailed3834[[#This Row],[Input Power  (mW)]]</f>
        <v/>
      </c>
    </row>
    <row r="36" ht="15.75" customHeight="1">
      <c r="A36" s="56" t="n">
        <v>2450</v>
      </c>
      <c r="B36" s="56" t="inlineStr">
        <is>
          <t>front_of_eyes_left_vertical</t>
        </is>
      </c>
      <c r="C36" s="56" t="n">
        <v>1</v>
      </c>
      <c r="D36" s="57">
        <f>normalized_results_detailed3834[[#This Row],[SAR_wholebody (mW/kg)]]*10^3/normalized_results_detailed3834[[#This Row],[Input Power  (mW)]]</f>
        <v/>
      </c>
      <c r="E36" s="57">
        <f>normalized_results_detailed3834[[#This Row],[SAR_head (mW/kg)]]*10^3/normalized_results_detailed3834[[#This Row],[Input Power  (mW)]]</f>
        <v/>
      </c>
      <c r="F36" s="57">
        <f>normalized_results_detailed3834[[#This Row],[SAR_trunk (mW/kg)]]*10^3/normalized_results_detailed3834[[#This Row],[Input Power  (mW)]]</f>
        <v/>
      </c>
      <c r="G36" s="57">
        <f>normalized_results_detailed3834[[#This Row],[SAR averagedbrain(mW/kg)]]*10^3/normalized_results_detailed3834[[#This Row],[Input Power  (mW)]]</f>
        <v/>
      </c>
      <c r="H36" s="57">
        <f>Ella_front!H36*10^3/normalized_results_detailed3834[[#This Row],[Input Power  (mW)]]</f>
        <v/>
      </c>
      <c r="I36" s="57">
        <f>Ella_front!I36*10^3/normalized_results_detailed3834[[#This Row],[Input Power  (mW)]]</f>
        <v/>
      </c>
      <c r="J36" s="57">
        <f>Ella_front!J36*10^3/normalized_results_detailed3834[[#This Row],[Input Power  (mW)]]</f>
        <v/>
      </c>
    </row>
    <row r="37" ht="15.75" customHeight="1">
      <c r="A37" s="58" t="n">
        <v>2450</v>
      </c>
      <c r="B37" s="58" t="inlineStr">
        <is>
          <t>front_of_eyes_left_horizontal</t>
        </is>
      </c>
      <c r="C37" s="58" t="n">
        <v>1</v>
      </c>
      <c r="D37" s="59">
        <f>normalized_results_detailed3834[[#This Row],[SAR_wholebody (mW/kg)]]*10^3/normalized_results_detailed3834[[#This Row],[Input Power  (mW)]]</f>
        <v/>
      </c>
      <c r="E37" s="59">
        <f>normalized_results_detailed3834[[#This Row],[SAR_head (mW/kg)]]*10^3/normalized_results_detailed3834[[#This Row],[Input Power  (mW)]]</f>
        <v/>
      </c>
      <c r="F37" s="59">
        <f>normalized_results_detailed3834[[#This Row],[SAR_trunk (mW/kg)]]*10^3/normalized_results_detailed3834[[#This Row],[Input Power  (mW)]]</f>
        <v/>
      </c>
      <c r="G37" s="59">
        <f>normalized_results_detailed3834[[#This Row],[SAR averagedbrain(mW/kg)]]*10^3/normalized_results_detailed3834[[#This Row],[Input Power  (mW)]]</f>
        <v/>
      </c>
      <c r="H37" s="59">
        <f>Ella_front!H37*10^3/normalized_results_detailed3834[[#This Row],[Input Power  (mW)]]</f>
        <v/>
      </c>
      <c r="I37" s="59">
        <f>Ella_front!I37*10^3/normalized_results_detailed3834[[#This Row],[Input Power  (mW)]]</f>
        <v/>
      </c>
      <c r="J37" s="59">
        <f>Ella_front!J37*10^3/normalized_results_detailed3834[[#This Row],[Input Power  (mW)]]</f>
        <v/>
      </c>
    </row>
    <row r="38" ht="15.75" customHeight="1">
      <c r="A38" s="56" t="n">
        <v>2450</v>
      </c>
      <c r="B38" s="56" t="inlineStr">
        <is>
          <t>front_of_eyes_right_vertical</t>
        </is>
      </c>
      <c r="C38" s="56" t="n">
        <v>1</v>
      </c>
      <c r="D38" s="57">
        <f>normalized_results_detailed3834[[#This Row],[SAR_wholebody (mW/kg)]]*10^3/normalized_results_detailed3834[[#This Row],[Input Power  (mW)]]</f>
        <v/>
      </c>
      <c r="E38" s="57">
        <f>normalized_results_detailed3834[[#This Row],[SAR_head (mW/kg)]]*10^3/normalized_results_detailed3834[[#This Row],[Input Power  (mW)]]</f>
        <v/>
      </c>
      <c r="F38" s="57">
        <f>normalized_results_detailed3834[[#This Row],[SAR_trunk (mW/kg)]]*10^3/normalized_results_detailed3834[[#This Row],[Input Power  (mW)]]</f>
        <v/>
      </c>
      <c r="G38" s="57">
        <f>normalized_results_detailed3834[[#This Row],[SAR averagedbrain(mW/kg)]]*10^3/normalized_results_detailed3834[[#This Row],[Input Power  (mW)]]</f>
        <v/>
      </c>
      <c r="H38" s="57">
        <f>Ella_front!H38*10^3/normalized_results_detailed3834[[#This Row],[Input Power  (mW)]]</f>
        <v/>
      </c>
      <c r="I38" s="57">
        <f>Ella_front!I38*10^3/normalized_results_detailed3834[[#This Row],[Input Power  (mW)]]</f>
        <v/>
      </c>
      <c r="J38" s="57">
        <f>Ella_front!J38*10^3/normalized_results_detailed3834[[#This Row],[Input Power  (mW)]]</f>
        <v/>
      </c>
    </row>
    <row r="39" ht="15.75" customHeight="1">
      <c r="A39" s="58" t="n">
        <v>2450</v>
      </c>
      <c r="B39" s="58" t="inlineStr">
        <is>
          <t>front_of_eyes_right_horizontal</t>
        </is>
      </c>
      <c r="C39" s="58" t="n">
        <v>1</v>
      </c>
      <c r="D39" s="59">
        <f>normalized_results_detailed3834[[#This Row],[SAR_wholebody (mW/kg)]]*10^3/normalized_results_detailed3834[[#This Row],[Input Power  (mW)]]</f>
        <v/>
      </c>
      <c r="E39" s="59">
        <f>normalized_results_detailed3834[[#This Row],[SAR_head (mW/kg)]]*10^3/normalized_results_detailed3834[[#This Row],[Input Power  (mW)]]</f>
        <v/>
      </c>
      <c r="F39" s="59">
        <f>normalized_results_detailed3834[[#This Row],[SAR_trunk (mW/kg)]]*10^3/normalized_results_detailed3834[[#This Row],[Input Power  (mW)]]</f>
        <v/>
      </c>
      <c r="G39" s="59">
        <f>normalized_results_detailed3834[[#This Row],[SAR averagedbrain(mW/kg)]]*10^3/normalized_results_detailed3834[[#This Row],[Input Power  (mW)]]</f>
        <v/>
      </c>
      <c r="H39" s="59">
        <f>Ella_front!H39*10^3/normalized_results_detailed3834[[#This Row],[Input Power  (mW)]]</f>
        <v/>
      </c>
      <c r="I39" s="59">
        <f>Ella_front!I39*10^3/normalized_results_detailed3834[[#This Row],[Input Power  (mW)]]</f>
        <v/>
      </c>
      <c r="J39" s="59">
        <f>Ella_front!J39*10^3/normalized_results_detailed3834[[#This Row],[Input Power  (mW)]]</f>
        <v/>
      </c>
    </row>
    <row r="40" ht="15.75" customHeight="1">
      <c r="A40" s="56" t="n">
        <v>2450</v>
      </c>
      <c r="B40" s="56" t="inlineStr">
        <is>
          <t>front_of_eyes_down_vertical</t>
        </is>
      </c>
      <c r="C40" s="56" t="n">
        <v>1</v>
      </c>
      <c r="D40" s="57">
        <f>normalized_results_detailed3834[[#This Row],[SAR_wholebody (mW/kg)]]*10^3/normalized_results_detailed3834[[#This Row],[Input Power  (mW)]]</f>
        <v/>
      </c>
      <c r="E40" s="57">
        <f>normalized_results_detailed3834[[#This Row],[SAR_head (mW/kg)]]*10^3/normalized_results_detailed3834[[#This Row],[Input Power  (mW)]]</f>
        <v/>
      </c>
      <c r="F40" s="57">
        <f>normalized_results_detailed3834[[#This Row],[SAR_trunk (mW/kg)]]*10^3/normalized_results_detailed3834[[#This Row],[Input Power  (mW)]]</f>
        <v/>
      </c>
      <c r="G40" s="57">
        <f>normalized_results_detailed3834[[#This Row],[SAR averagedbrain(mW/kg)]]*10^3/normalized_results_detailed3834[[#This Row],[Input Power  (mW)]]</f>
        <v/>
      </c>
      <c r="H40" s="57">
        <f>Ella_front!H40*10^3/normalized_results_detailed3834[[#This Row],[Input Power  (mW)]]</f>
        <v/>
      </c>
      <c r="I40" s="57">
        <f>Ella_front!I40*10^3/normalized_results_detailed3834[[#This Row],[Input Power  (mW)]]</f>
        <v/>
      </c>
      <c r="J40" s="57">
        <f>Ella_front!J40*10^3/normalized_results_detailed3834[[#This Row],[Input Power  (mW)]]</f>
        <v/>
      </c>
    </row>
    <row r="41" ht="16.5" customHeight="1" thickBot="1">
      <c r="A41" s="8" t="n">
        <v>2450</v>
      </c>
      <c r="B41" s="8" t="inlineStr">
        <is>
          <t>front_of_eyes_down_horizontal</t>
        </is>
      </c>
      <c r="C41" s="8" t="n">
        <v>1</v>
      </c>
      <c r="D41" s="12">
        <f>normalized_results_detailed3834[[#This Row],[SAR_wholebody (mW/kg)]]*10^3/normalized_results_detailed3834[[#This Row],[Input Power  (mW)]]</f>
        <v/>
      </c>
      <c r="E41" s="12">
        <f>normalized_results_detailed3834[[#This Row],[SAR_head (mW/kg)]]*10^3/normalized_results_detailed3834[[#This Row],[Input Power  (mW)]]</f>
        <v/>
      </c>
      <c r="F41" s="12">
        <f>normalized_results_detailed3834[[#This Row],[SAR_trunk (mW/kg)]]*10^3/normalized_results_detailed3834[[#This Row],[Input Power  (mW)]]</f>
        <v/>
      </c>
      <c r="G41" s="12">
        <f>normalized_results_detailed3834[[#This Row],[SAR averagedbrain(mW/kg)]]*10^3/normalized_results_detailed3834[[#This Row],[Input Power  (mW)]]</f>
        <v/>
      </c>
      <c r="H41" s="12">
        <f>Ella_front!H41*10^3/normalized_results_detailed3834[[#This Row],[Input Power  (mW)]]</f>
        <v/>
      </c>
      <c r="I41" s="12">
        <f>Ella_front!I41*10^3/normalized_results_detailed3834[[#This Row],[Input Power  (mW)]]</f>
        <v/>
      </c>
      <c r="J41" s="12">
        <f>Ella_front!J41*10^3/normalized_results_detailed3834[[#This Row],[Input Power  (mW)]]</f>
        <v/>
      </c>
    </row>
    <row r="42" ht="15.75" customHeight="1">
      <c r="A42" s="5" t="n">
        <v>3500</v>
      </c>
      <c r="B42" s="5" t="inlineStr">
        <is>
          <t>front_of_eyes_center_vertical</t>
        </is>
      </c>
      <c r="C42" s="5" t="n">
        <v>1</v>
      </c>
      <c r="D42" s="9">
        <f>normalized_results_detailed3834[[#This Row],[SAR_wholebody (mW/kg)]]*10^3/normalized_results_detailed3834[[#This Row],[Input Power  (mW)]]</f>
        <v/>
      </c>
      <c r="E42" s="57">
        <f>normalized_results_detailed3834[[#This Row],[SAR_head (mW/kg)]]*10^3/normalized_results_detailed3834[[#This Row],[Input Power  (mW)]]</f>
        <v/>
      </c>
      <c r="F42" s="9">
        <f>normalized_results_detailed3834[[#This Row],[SAR_trunk (mW/kg)]]*10^3/normalized_results_detailed3834[[#This Row],[Input Power  (mW)]]</f>
        <v/>
      </c>
      <c r="G42" s="9">
        <f>normalized_results_detailed3834[[#This Row],[SAR averagedbrain(mW/kg)]]*10^3/normalized_results_detailed3834[[#This Row],[Input Power  (mW)]]</f>
        <v/>
      </c>
      <c r="H42" s="9">
        <f>Ella_front!H42*10^3/normalized_results_detailed3834[[#This Row],[Input Power  (mW)]]</f>
        <v/>
      </c>
      <c r="I42" s="9">
        <f>Ella_front!I42*10^3/normalized_results_detailed3834[[#This Row],[Input Power  (mW)]]</f>
        <v/>
      </c>
      <c r="J42" s="9">
        <f>Ella_front!J42*10^3/normalized_results_detailed3834[[#This Row],[Input Power  (mW)]]</f>
        <v/>
      </c>
    </row>
    <row r="43" ht="15.75" customHeight="1">
      <c r="A43" s="58" t="n">
        <v>3500</v>
      </c>
      <c r="B43" s="58" t="inlineStr">
        <is>
          <t>front_of_eyes_center_horizontal</t>
        </is>
      </c>
      <c r="C43" s="58" t="n">
        <v>1</v>
      </c>
      <c r="D43" s="59">
        <f>normalized_results_detailed3834[[#This Row],[SAR_wholebody (mW/kg)]]*10^3/normalized_results_detailed3834[[#This Row],[Input Power  (mW)]]</f>
        <v/>
      </c>
      <c r="E43" s="59">
        <f>normalized_results_detailed3834[[#This Row],[SAR_head (mW/kg)]]*10^3/normalized_results_detailed3834[[#This Row],[Input Power  (mW)]]</f>
        <v/>
      </c>
      <c r="F43" s="59">
        <f>normalized_results_detailed3834[[#This Row],[SAR_trunk (mW/kg)]]*10^3/normalized_results_detailed3834[[#This Row],[Input Power  (mW)]]</f>
        <v/>
      </c>
      <c r="G43" s="59">
        <f>normalized_results_detailed3834[[#This Row],[SAR averagedbrain(mW/kg)]]*10^3/normalized_results_detailed3834[[#This Row],[Input Power  (mW)]]</f>
        <v/>
      </c>
      <c r="H43" s="59">
        <f>Ella_front!H43*10^3/normalized_results_detailed3834[[#This Row],[Input Power  (mW)]]</f>
        <v/>
      </c>
      <c r="I43" s="59">
        <f>Ella_front!I43*10^3/normalized_results_detailed3834[[#This Row],[Input Power  (mW)]]</f>
        <v/>
      </c>
      <c r="J43" s="59">
        <f>Ella_front!J43*10^3/normalized_results_detailed3834[[#This Row],[Input Power  (mW)]]</f>
        <v/>
      </c>
    </row>
    <row r="44" ht="15.75" customHeight="1">
      <c r="A44" s="56" t="n">
        <v>3500</v>
      </c>
      <c r="B44" s="56" t="inlineStr">
        <is>
          <t>front_of_eyes_left_vertical</t>
        </is>
      </c>
      <c r="C44" s="56" t="n">
        <v>1</v>
      </c>
      <c r="D44" s="57">
        <f>normalized_results_detailed3834[[#This Row],[SAR_wholebody (mW/kg)]]*10^3/normalized_results_detailed3834[[#This Row],[Input Power  (mW)]]</f>
        <v/>
      </c>
      <c r="E44" s="57">
        <f>normalized_results_detailed3834[[#This Row],[SAR_head (mW/kg)]]*10^3/normalized_results_detailed3834[[#This Row],[Input Power  (mW)]]</f>
        <v/>
      </c>
      <c r="F44" s="57">
        <f>normalized_results_detailed3834[[#This Row],[SAR_trunk (mW/kg)]]*10^3/normalized_results_detailed3834[[#This Row],[Input Power  (mW)]]</f>
        <v/>
      </c>
      <c r="G44" s="57">
        <f>normalized_results_detailed3834[[#This Row],[SAR averagedbrain(mW/kg)]]*10^3/normalized_results_detailed3834[[#This Row],[Input Power  (mW)]]</f>
        <v/>
      </c>
      <c r="H44" s="57">
        <f>Ella_front!H44*10^3/normalized_results_detailed3834[[#This Row],[Input Power  (mW)]]</f>
        <v/>
      </c>
      <c r="I44" s="57">
        <f>Ella_front!I44*10^3/normalized_results_detailed3834[[#This Row],[Input Power  (mW)]]</f>
        <v/>
      </c>
      <c r="J44" s="57">
        <f>Ella_front!J44*10^3/normalized_results_detailed3834[[#This Row],[Input Power  (mW)]]</f>
        <v/>
      </c>
    </row>
    <row r="45" ht="15.75" customHeight="1">
      <c r="A45" s="58" t="n">
        <v>3500</v>
      </c>
      <c r="B45" s="58" t="inlineStr">
        <is>
          <t>front_of_eyes_left_horizontal</t>
        </is>
      </c>
      <c r="C45" s="58" t="n">
        <v>1</v>
      </c>
      <c r="D45" s="59">
        <f>normalized_results_detailed3834[[#This Row],[SAR_wholebody (mW/kg)]]*10^3/normalized_results_detailed3834[[#This Row],[Input Power  (mW)]]</f>
        <v/>
      </c>
      <c r="E45" s="59">
        <f>normalized_results_detailed3834[[#This Row],[SAR_head (mW/kg)]]*10^3/normalized_results_detailed3834[[#This Row],[Input Power  (mW)]]</f>
        <v/>
      </c>
      <c r="F45" s="59">
        <f>normalized_results_detailed3834[[#This Row],[SAR_trunk (mW/kg)]]*10^3/normalized_results_detailed3834[[#This Row],[Input Power  (mW)]]</f>
        <v/>
      </c>
      <c r="G45" s="59">
        <f>normalized_results_detailed3834[[#This Row],[SAR averagedbrain(mW/kg)]]*10^3/normalized_results_detailed3834[[#This Row],[Input Power  (mW)]]</f>
        <v/>
      </c>
      <c r="H45" s="59">
        <f>Ella_front!H45*10^3/normalized_results_detailed3834[[#This Row],[Input Power  (mW)]]</f>
        <v/>
      </c>
      <c r="I45" s="59">
        <f>Ella_front!I45*10^3/normalized_results_detailed3834[[#This Row],[Input Power  (mW)]]</f>
        <v/>
      </c>
      <c r="J45" s="59">
        <f>Ella_front!J45*10^3/normalized_results_detailed3834[[#This Row],[Input Power  (mW)]]</f>
        <v/>
      </c>
    </row>
    <row r="46" ht="15.75" customHeight="1">
      <c r="A46" s="56" t="n">
        <v>3500</v>
      </c>
      <c r="B46" s="56" t="inlineStr">
        <is>
          <t>front_of_eyes_right_vertical</t>
        </is>
      </c>
      <c r="C46" s="56" t="n">
        <v>1</v>
      </c>
      <c r="D46" s="57">
        <f>normalized_results_detailed3834[[#This Row],[SAR_wholebody (mW/kg)]]*10^3/normalized_results_detailed3834[[#This Row],[Input Power  (mW)]]</f>
        <v/>
      </c>
      <c r="E46" s="57">
        <f>normalized_results_detailed3834[[#This Row],[SAR_head (mW/kg)]]*10^3/normalized_results_detailed3834[[#This Row],[Input Power  (mW)]]</f>
        <v/>
      </c>
      <c r="F46" s="57">
        <f>normalized_results_detailed3834[[#This Row],[SAR_trunk (mW/kg)]]*10^3/normalized_results_detailed3834[[#This Row],[Input Power  (mW)]]</f>
        <v/>
      </c>
      <c r="G46" s="57">
        <f>normalized_results_detailed3834[[#This Row],[SAR averagedbrain(mW/kg)]]*10^3/normalized_results_detailed3834[[#This Row],[Input Power  (mW)]]</f>
        <v/>
      </c>
      <c r="H46" s="57">
        <f>Ella_front!H46*10^3/normalized_results_detailed3834[[#This Row],[Input Power  (mW)]]</f>
        <v/>
      </c>
      <c r="I46" s="57">
        <f>Ella_front!I46*10^3/normalized_results_detailed3834[[#This Row],[Input Power  (mW)]]</f>
        <v/>
      </c>
      <c r="J46" s="57">
        <f>Ella_front!J46*10^3/normalized_results_detailed3834[[#This Row],[Input Power  (mW)]]</f>
        <v/>
      </c>
    </row>
    <row r="47" ht="15.75" customHeight="1">
      <c r="A47" s="58" t="n">
        <v>3500</v>
      </c>
      <c r="B47" s="58" t="inlineStr">
        <is>
          <t>front_of_eyes_right_horizontal</t>
        </is>
      </c>
      <c r="C47" s="58" t="n">
        <v>1</v>
      </c>
      <c r="D47" s="59">
        <f>normalized_results_detailed3834[[#This Row],[SAR_wholebody (mW/kg)]]*10^3/normalized_results_detailed3834[[#This Row],[Input Power  (mW)]]</f>
        <v/>
      </c>
      <c r="E47" s="59">
        <f>normalized_results_detailed3834[[#This Row],[SAR_head (mW/kg)]]*10^3/normalized_results_detailed3834[[#This Row],[Input Power  (mW)]]</f>
        <v/>
      </c>
      <c r="F47" s="59">
        <f>normalized_results_detailed3834[[#This Row],[SAR_trunk (mW/kg)]]*10^3/normalized_results_detailed3834[[#This Row],[Input Power  (mW)]]</f>
        <v/>
      </c>
      <c r="G47" s="59">
        <f>normalized_results_detailed3834[[#This Row],[SAR averagedbrain(mW/kg)]]*10^3/normalized_results_detailed3834[[#This Row],[Input Power  (mW)]]</f>
        <v/>
      </c>
      <c r="H47" s="59">
        <f>Ella_front!H47*10^3/normalized_results_detailed3834[[#This Row],[Input Power  (mW)]]</f>
        <v/>
      </c>
      <c r="I47" s="59">
        <f>Ella_front!I47*10^3/normalized_results_detailed3834[[#This Row],[Input Power  (mW)]]</f>
        <v/>
      </c>
      <c r="J47" s="59">
        <f>Ella_front!J47*10^3/normalized_results_detailed3834[[#This Row],[Input Power  (mW)]]</f>
        <v/>
      </c>
    </row>
    <row r="48" ht="15.75" customHeight="1">
      <c r="A48" s="56" t="n">
        <v>3500</v>
      </c>
      <c r="B48" s="56" t="inlineStr">
        <is>
          <t>front_of_eyes_down_vertical</t>
        </is>
      </c>
      <c r="C48" s="56" t="n">
        <v>1</v>
      </c>
      <c r="D48" s="57">
        <f>normalized_results_detailed3834[[#This Row],[SAR_wholebody (mW/kg)]]*10^3/normalized_results_detailed3834[[#This Row],[Input Power  (mW)]]</f>
        <v/>
      </c>
      <c r="E48" s="57">
        <f>normalized_results_detailed3834[[#This Row],[SAR_head (mW/kg)]]*10^3/normalized_results_detailed3834[[#This Row],[Input Power  (mW)]]</f>
        <v/>
      </c>
      <c r="F48" s="57">
        <f>normalized_results_detailed3834[[#This Row],[SAR_trunk (mW/kg)]]*10^3/normalized_results_detailed3834[[#This Row],[Input Power  (mW)]]</f>
        <v/>
      </c>
      <c r="G48" s="57">
        <f>normalized_results_detailed3834[[#This Row],[SAR averagedbrain(mW/kg)]]*10^3/normalized_results_detailed3834[[#This Row],[Input Power  (mW)]]</f>
        <v/>
      </c>
      <c r="H48" s="57">
        <f>Ella_front!H48*10^3/normalized_results_detailed3834[[#This Row],[Input Power  (mW)]]</f>
        <v/>
      </c>
      <c r="I48" s="57">
        <f>Ella_front!I48*10^3/normalized_results_detailed3834[[#This Row],[Input Power  (mW)]]</f>
        <v/>
      </c>
      <c r="J48" s="57">
        <f>Ella_front!J48*10^3/normalized_results_detailed3834[[#This Row],[Input Power  (mW)]]</f>
        <v/>
      </c>
    </row>
    <row r="49" ht="16.5" customHeight="1" thickBot="1">
      <c r="A49" s="8" t="n">
        <v>3500</v>
      </c>
      <c r="B49" s="8" t="inlineStr">
        <is>
          <t>front_of_eyes_down_horizontal</t>
        </is>
      </c>
      <c r="C49" s="8" t="n">
        <v>1</v>
      </c>
      <c r="D49" s="12">
        <f>normalized_results_detailed3834[[#This Row],[SAR_wholebody (mW/kg)]]*10^3/normalized_results_detailed3834[[#This Row],[Input Power  (mW)]]</f>
        <v/>
      </c>
      <c r="E49" s="12">
        <f>normalized_results_detailed3834[[#This Row],[SAR_head (mW/kg)]]*10^3/normalized_results_detailed3834[[#This Row],[Input Power  (mW)]]</f>
        <v/>
      </c>
      <c r="F49" s="12">
        <f>normalized_results_detailed3834[[#This Row],[SAR_trunk (mW/kg)]]*10^3/normalized_results_detailed3834[[#This Row],[Input Power  (mW)]]</f>
        <v/>
      </c>
      <c r="G49" s="12">
        <f>normalized_results_detailed3834[[#This Row],[SAR averagedbrain(mW/kg)]]*10^3/normalized_results_detailed3834[[#This Row],[Input Power  (mW)]]</f>
        <v/>
      </c>
      <c r="H49" s="12">
        <f>Ella_front!H49*10^3/normalized_results_detailed3834[[#This Row],[Input Power  (mW)]]</f>
        <v/>
      </c>
      <c r="I49" s="12">
        <f>Ella_front!I49*10^3/normalized_results_detailed3834[[#This Row],[Input Power  (mW)]]</f>
        <v/>
      </c>
      <c r="J49" s="12">
        <f>Ella_front!J49*10^3/normalized_results_detailed3834[[#This Row],[Input Power  (mW)]]</f>
        <v/>
      </c>
    </row>
    <row r="50" ht="15.75" customHeight="1">
      <c r="A50" s="5" t="n">
        <v>5200</v>
      </c>
      <c r="B50" s="5" t="inlineStr">
        <is>
          <t>front_of_eyes_center_vertical</t>
        </is>
      </c>
      <c r="C50" s="5" t="n">
        <v>1</v>
      </c>
      <c r="D50" s="9">
        <f>normalized_results_detailed3834[[#This Row],[SAR_wholebody (mW/kg)]]*10^3/normalized_results_detailed3834[[#This Row],[Input Power  (mW)]]</f>
        <v/>
      </c>
      <c r="E50" s="9">
        <f>normalized_results_detailed3834[[#This Row],[SAR_head (mW/kg)]]*10^3/normalized_results_detailed3834[[#This Row],[Input Power  (mW)]]</f>
        <v/>
      </c>
      <c r="F50" s="9">
        <f>normalized_results_detailed3834[[#This Row],[SAR_trunk (mW/kg)]]*10^3/normalized_results_detailed3834[[#This Row],[Input Power  (mW)]]</f>
        <v/>
      </c>
      <c r="G50" s="9">
        <f>normalized_results_detailed3834[[#This Row],[SAR averagedbrain(mW/kg)]]*10^3/normalized_results_detailed3834[[#This Row],[Input Power  (mW)]]</f>
        <v/>
      </c>
      <c r="H50" s="9">
        <f>Ella_front!H50*10^3/normalized_results_detailed3834[[#This Row],[Input Power  (mW)]]</f>
        <v/>
      </c>
      <c r="I50" s="9">
        <f>Ella_front!I50*10^3/normalized_results_detailed3834[[#This Row],[Input Power  (mW)]]</f>
        <v/>
      </c>
      <c r="J50" s="9">
        <f>Ella_front!J50*10^3/normalized_results_detailed3834[[#This Row],[Input Power  (mW)]]</f>
        <v/>
      </c>
    </row>
    <row r="51" ht="15.75" customHeight="1">
      <c r="A51" s="58" t="n">
        <v>5200</v>
      </c>
      <c r="B51" s="58" t="inlineStr">
        <is>
          <t>front_of_eyes_center_horizontal</t>
        </is>
      </c>
      <c r="C51" s="58" t="n">
        <v>1</v>
      </c>
      <c r="D51" s="59">
        <f>normalized_results_detailed3834[[#This Row],[SAR_wholebody (mW/kg)]]*10^3/normalized_results_detailed3834[[#This Row],[Input Power  (mW)]]</f>
        <v/>
      </c>
      <c r="E51" s="59">
        <f>normalized_results_detailed3834[[#This Row],[SAR_head (mW/kg)]]*10^3/normalized_results_detailed3834[[#This Row],[Input Power  (mW)]]</f>
        <v/>
      </c>
      <c r="F51" s="59">
        <f>normalized_results_detailed3834[[#This Row],[SAR_trunk (mW/kg)]]*10^3/normalized_results_detailed3834[[#This Row],[Input Power  (mW)]]</f>
        <v/>
      </c>
      <c r="G51" s="59">
        <f>normalized_results_detailed3834[[#This Row],[SAR averagedbrain(mW/kg)]]*10^3/normalized_results_detailed3834[[#This Row],[Input Power  (mW)]]</f>
        <v/>
      </c>
      <c r="H51" s="59">
        <f>Ella_front!H51*10^3/normalized_results_detailed3834[[#This Row],[Input Power  (mW)]]</f>
        <v/>
      </c>
      <c r="I51" s="59">
        <f>Ella_front!I51*10^3/normalized_results_detailed3834[[#This Row],[Input Power  (mW)]]</f>
        <v/>
      </c>
      <c r="J51" s="59">
        <f>Ella_front!J51*10^3/normalized_results_detailed3834[[#This Row],[Input Power  (mW)]]</f>
        <v/>
      </c>
    </row>
    <row r="52" ht="15.75" customHeight="1">
      <c r="A52" s="56" t="n">
        <v>5200</v>
      </c>
      <c r="B52" s="56" t="inlineStr">
        <is>
          <t>front_of_eyes_left_vertical</t>
        </is>
      </c>
      <c r="C52" s="56" t="n">
        <v>1</v>
      </c>
      <c r="D52" s="57">
        <f>normalized_results_detailed3834[[#This Row],[SAR_wholebody (mW/kg)]]*10^3/normalized_results_detailed3834[[#This Row],[Input Power  (mW)]]</f>
        <v/>
      </c>
      <c r="E52" s="57">
        <f>normalized_results_detailed3834[[#This Row],[SAR_head (mW/kg)]]*10^3/normalized_results_detailed3834[[#This Row],[Input Power  (mW)]]</f>
        <v/>
      </c>
      <c r="F52" s="57">
        <f>normalized_results_detailed3834[[#This Row],[SAR_trunk (mW/kg)]]*10^3/normalized_results_detailed3834[[#This Row],[Input Power  (mW)]]</f>
        <v/>
      </c>
      <c r="G52" s="57">
        <f>normalized_results_detailed3834[[#This Row],[SAR averagedbrain(mW/kg)]]*10^3/normalized_results_detailed3834[[#This Row],[Input Power  (mW)]]</f>
        <v/>
      </c>
      <c r="H52" s="57">
        <f>Ella_front!H52*10^3/normalized_results_detailed3834[[#This Row],[Input Power  (mW)]]</f>
        <v/>
      </c>
      <c r="I52" s="57">
        <f>Ella_front!I52*10^3/normalized_results_detailed3834[[#This Row],[Input Power  (mW)]]</f>
        <v/>
      </c>
      <c r="J52" s="57">
        <f>Ella_front!J52*10^3/normalized_results_detailed3834[[#This Row],[Input Power  (mW)]]</f>
        <v/>
      </c>
    </row>
    <row r="53" ht="15.75" customHeight="1">
      <c r="A53" s="58" t="n">
        <v>5200</v>
      </c>
      <c r="B53" s="58" t="inlineStr">
        <is>
          <t>front_of_eyes_left_horizontal</t>
        </is>
      </c>
      <c r="C53" s="58" t="n">
        <v>1</v>
      </c>
      <c r="D53" s="59">
        <f>normalized_results_detailed3834[[#This Row],[SAR_wholebody (mW/kg)]]*10^3/normalized_results_detailed3834[[#This Row],[Input Power  (mW)]]</f>
        <v/>
      </c>
      <c r="E53" s="59">
        <f>normalized_results_detailed3834[[#This Row],[SAR_head (mW/kg)]]*10^3/normalized_results_detailed3834[[#This Row],[Input Power  (mW)]]</f>
        <v/>
      </c>
      <c r="F53" s="59">
        <f>normalized_results_detailed3834[[#This Row],[SAR_trunk (mW/kg)]]*10^3/normalized_results_detailed3834[[#This Row],[Input Power  (mW)]]</f>
        <v/>
      </c>
      <c r="G53" s="59">
        <f>normalized_results_detailed3834[[#This Row],[SAR averagedbrain(mW/kg)]]*10^3/normalized_results_detailed3834[[#This Row],[Input Power  (mW)]]</f>
        <v/>
      </c>
      <c r="H53" s="59">
        <f>Ella_front!H53*10^3/normalized_results_detailed3834[[#This Row],[Input Power  (mW)]]</f>
        <v/>
      </c>
      <c r="I53" s="59">
        <f>Ella_front!I53*10^3/normalized_results_detailed3834[[#This Row],[Input Power  (mW)]]</f>
        <v/>
      </c>
      <c r="J53" s="59">
        <f>Ella_front!J53*10^3/normalized_results_detailed3834[[#This Row],[Input Power  (mW)]]</f>
        <v/>
      </c>
    </row>
    <row r="54" ht="15.75" customHeight="1">
      <c r="A54" s="56" t="n">
        <v>5200</v>
      </c>
      <c r="B54" s="56" t="inlineStr">
        <is>
          <t>front_of_eyes_right_vertical</t>
        </is>
      </c>
      <c r="C54" s="56" t="n">
        <v>1</v>
      </c>
      <c r="D54" s="57">
        <f>normalized_results_detailed3834[[#This Row],[SAR_wholebody (mW/kg)]]*10^3/normalized_results_detailed3834[[#This Row],[Input Power  (mW)]]</f>
        <v/>
      </c>
      <c r="E54" s="57">
        <f>normalized_results_detailed3834[[#This Row],[SAR_head (mW/kg)]]*10^3/normalized_results_detailed3834[[#This Row],[Input Power  (mW)]]</f>
        <v/>
      </c>
      <c r="F54" s="57">
        <f>normalized_results_detailed3834[[#This Row],[SAR_trunk (mW/kg)]]*10^3/normalized_results_detailed3834[[#This Row],[Input Power  (mW)]]</f>
        <v/>
      </c>
      <c r="G54" s="57">
        <f>normalized_results_detailed3834[[#This Row],[SAR averagedbrain(mW/kg)]]*10^3/normalized_results_detailed3834[[#This Row],[Input Power  (mW)]]</f>
        <v/>
      </c>
      <c r="H54" s="57">
        <f>Ella_front!H54*10^3/normalized_results_detailed3834[[#This Row],[Input Power  (mW)]]</f>
        <v/>
      </c>
      <c r="I54" s="57">
        <f>Ella_front!I54*10^3/normalized_results_detailed3834[[#This Row],[Input Power  (mW)]]</f>
        <v/>
      </c>
      <c r="J54" s="57">
        <f>Ella_front!J54*10^3/normalized_results_detailed3834[[#This Row],[Input Power  (mW)]]</f>
        <v/>
      </c>
    </row>
    <row r="55" ht="15.75" customHeight="1">
      <c r="A55" s="58" t="n">
        <v>5200</v>
      </c>
      <c r="B55" s="58" t="inlineStr">
        <is>
          <t>front_of_eyes_right_horizontal</t>
        </is>
      </c>
      <c r="C55" s="58" t="n">
        <v>1</v>
      </c>
      <c r="D55" s="59">
        <f>normalized_results_detailed3834[[#This Row],[SAR_wholebody (mW/kg)]]*10^3/normalized_results_detailed3834[[#This Row],[Input Power  (mW)]]</f>
        <v/>
      </c>
      <c r="E55" s="59">
        <f>normalized_results_detailed3834[[#This Row],[SAR_head (mW/kg)]]*10^3/normalized_results_detailed3834[[#This Row],[Input Power  (mW)]]</f>
        <v/>
      </c>
      <c r="F55" s="59">
        <f>normalized_results_detailed3834[[#This Row],[SAR_trunk (mW/kg)]]*10^3/normalized_results_detailed3834[[#This Row],[Input Power  (mW)]]</f>
        <v/>
      </c>
      <c r="G55" s="59">
        <f>normalized_results_detailed3834[[#This Row],[SAR averagedbrain(mW/kg)]]*10^3/normalized_results_detailed3834[[#This Row],[Input Power  (mW)]]</f>
        <v/>
      </c>
      <c r="H55" s="59">
        <f>Ella_front!H55*10^3/normalized_results_detailed3834[[#This Row],[Input Power  (mW)]]</f>
        <v/>
      </c>
      <c r="I55" s="59">
        <f>Ella_front!I55*10^3/normalized_results_detailed3834[[#This Row],[Input Power  (mW)]]</f>
        <v/>
      </c>
      <c r="J55" s="59">
        <f>Ella_front!J55*10^3/normalized_results_detailed3834[[#This Row],[Input Power  (mW)]]</f>
        <v/>
      </c>
    </row>
    <row r="56" ht="15.75" customHeight="1">
      <c r="A56" s="56" t="n">
        <v>5200</v>
      </c>
      <c r="B56" s="56" t="inlineStr">
        <is>
          <t>front_of_eyes_down_vertical</t>
        </is>
      </c>
      <c r="C56" s="56" t="n">
        <v>1</v>
      </c>
      <c r="D56" s="57">
        <f>normalized_results_detailed3834[[#This Row],[SAR_wholebody (mW/kg)]]*10^3/normalized_results_detailed3834[[#This Row],[Input Power  (mW)]]</f>
        <v/>
      </c>
      <c r="E56" s="57">
        <f>normalized_results_detailed3834[[#This Row],[SAR_head (mW/kg)]]*10^3/normalized_results_detailed3834[[#This Row],[Input Power  (mW)]]</f>
        <v/>
      </c>
      <c r="F56" s="57">
        <f>normalized_results_detailed3834[[#This Row],[SAR_trunk (mW/kg)]]*10^3/normalized_results_detailed3834[[#This Row],[Input Power  (mW)]]</f>
        <v/>
      </c>
      <c r="G56" s="57">
        <f>normalized_results_detailed3834[[#This Row],[SAR averagedbrain(mW/kg)]]*10^3/normalized_results_detailed3834[[#This Row],[Input Power  (mW)]]</f>
        <v/>
      </c>
      <c r="H56" s="57">
        <f>Ella_front!H56*10^3/normalized_results_detailed3834[[#This Row],[Input Power  (mW)]]</f>
        <v/>
      </c>
      <c r="I56" s="57">
        <f>Ella_front!I56*10^3/normalized_results_detailed3834[[#This Row],[Input Power  (mW)]]</f>
        <v/>
      </c>
      <c r="J56" s="57">
        <f>Ella_front!J56*10^3/normalized_results_detailed3834[[#This Row],[Input Power  (mW)]]</f>
        <v/>
      </c>
    </row>
    <row r="57" ht="16.5" customHeight="1" thickBot="1">
      <c r="A57" s="8" t="n">
        <v>5200</v>
      </c>
      <c r="B57" s="8" t="inlineStr">
        <is>
          <t>front_of_eyes_down_horizontal</t>
        </is>
      </c>
      <c r="C57" s="8" t="n">
        <v>1</v>
      </c>
      <c r="D57" s="12">
        <f>normalized_results_detailed3834[[#This Row],[SAR_wholebody (mW/kg)]]*10^3/normalized_results_detailed3834[[#This Row],[Input Power  (mW)]]</f>
        <v/>
      </c>
      <c r="E57" s="12">
        <f>normalized_results_detailed3834[[#This Row],[SAR_head (mW/kg)]]*10^3/normalized_results_detailed3834[[#This Row],[Input Power  (mW)]]</f>
        <v/>
      </c>
      <c r="F57" s="12">
        <f>normalized_results_detailed3834[[#This Row],[SAR_trunk (mW/kg)]]*10^3/normalized_results_detailed3834[[#This Row],[Input Power  (mW)]]</f>
        <v/>
      </c>
      <c r="G57" s="12">
        <f>normalized_results_detailed3834[[#This Row],[SAR averagedbrain(mW/kg)]]*10^3/normalized_results_detailed3834[[#This Row],[Input Power  (mW)]]</f>
        <v/>
      </c>
      <c r="H57" s="12">
        <f>Ella_front!H57*10^3/normalized_results_detailed3834[[#This Row],[Input Power  (mW)]]</f>
        <v/>
      </c>
      <c r="I57" s="12">
        <f>Ella_front!I57*10^3/normalized_results_detailed3834[[#This Row],[Input Power  (mW)]]</f>
        <v/>
      </c>
      <c r="J57" s="12">
        <f>Ella_front!J57*10^3/normalized_results_detailed3834[[#This Row],[Input Power  (mW)]]</f>
        <v/>
      </c>
    </row>
    <row r="58" ht="14.25" customHeight="1">
      <c r="A58" s="5" t="n">
        <v>5800</v>
      </c>
      <c r="B58" s="5" t="inlineStr">
        <is>
          <t>front_of_eyes_center_vertical</t>
        </is>
      </c>
      <c r="C58" s="5" t="n">
        <v>1</v>
      </c>
      <c r="D58" s="9">
        <f>normalized_results_detailed3834[[#This Row],[SAR_wholebody (mW/kg)]]*10^3/normalized_results_detailed3834[[#This Row],[Input Power  (mW)]]</f>
        <v/>
      </c>
      <c r="E58" s="9">
        <f>normalized_results_detailed3834[[#This Row],[SAR_head (mW/kg)]]*10^3/normalized_results_detailed3834[[#This Row],[Input Power  (mW)]]</f>
        <v/>
      </c>
      <c r="F58" s="9">
        <f>normalized_results_detailed3834[[#This Row],[SAR_trunk (mW/kg)]]*10^3/normalized_results_detailed3834[[#This Row],[Input Power  (mW)]]</f>
        <v/>
      </c>
      <c r="G58" s="9">
        <f>normalized_results_detailed3834[[#This Row],[SAR averagedbrain(mW/kg)]]*10^3/normalized_results_detailed3834[[#This Row],[Input Power  (mW)]]</f>
        <v/>
      </c>
      <c r="H58" s="9">
        <f>Ella_front!H58*10^3/normalized_results_detailed3834[[#This Row],[Input Power  (mW)]]</f>
        <v/>
      </c>
      <c r="I58" s="9">
        <f>Ella_front!I58*10^3/normalized_results_detailed3834[[#This Row],[Input Power  (mW)]]</f>
        <v/>
      </c>
      <c r="J58" s="9">
        <f>Ella_front!J58*10^3/normalized_results_detailed3834[[#This Row],[Input Power  (mW)]]</f>
        <v/>
      </c>
    </row>
    <row r="59" ht="15.75" customHeight="1">
      <c r="A59" s="58" t="n">
        <v>5800</v>
      </c>
      <c r="B59" s="58" t="inlineStr">
        <is>
          <t>front_of_eyes_center_horizontal</t>
        </is>
      </c>
      <c r="C59" s="58" t="n">
        <v>1</v>
      </c>
      <c r="D59" s="59">
        <f>normalized_results_detailed3834[[#This Row],[SAR_wholebody (mW/kg)]]*10^3/normalized_results_detailed3834[[#This Row],[Input Power  (mW)]]</f>
        <v/>
      </c>
      <c r="E59" s="59">
        <f>normalized_results_detailed3834[[#This Row],[SAR_head (mW/kg)]]*10^3/normalized_results_detailed3834[[#This Row],[Input Power  (mW)]]</f>
        <v/>
      </c>
      <c r="F59" s="59">
        <f>normalized_results_detailed3834[[#This Row],[SAR_trunk (mW/kg)]]*10^3/normalized_results_detailed3834[[#This Row],[Input Power  (mW)]]</f>
        <v/>
      </c>
      <c r="G59" s="59">
        <f>normalized_results_detailed3834[[#This Row],[SAR averagedbrain(mW/kg)]]*10^3/normalized_results_detailed3834[[#This Row],[Input Power  (mW)]]</f>
        <v/>
      </c>
      <c r="H59" s="59">
        <f>Ella_front!H59*10^3/normalized_results_detailed3834[[#This Row],[Input Power  (mW)]]</f>
        <v/>
      </c>
      <c r="I59" s="59">
        <f>Ella_front!I59*10^3/normalized_results_detailed3834[[#This Row],[Input Power  (mW)]]</f>
        <v/>
      </c>
      <c r="J59" s="59">
        <f>Ella_front!J59*10^3/normalized_results_detailed3834[[#This Row],[Input Power  (mW)]]</f>
        <v/>
      </c>
    </row>
    <row r="60" ht="15.75" customHeight="1">
      <c r="A60" s="56" t="n">
        <v>5800</v>
      </c>
      <c r="B60" s="56" t="inlineStr">
        <is>
          <t>front_of_eyes_left_vertical</t>
        </is>
      </c>
      <c r="C60" s="56" t="n">
        <v>1</v>
      </c>
      <c r="D60" s="57">
        <f>normalized_results_detailed3834[[#This Row],[SAR_wholebody (mW/kg)]]*10^3/normalized_results_detailed3834[[#This Row],[Input Power  (mW)]]</f>
        <v/>
      </c>
      <c r="E60" s="57">
        <f>normalized_results_detailed3834[[#This Row],[SAR_head (mW/kg)]]*10^3/normalized_results_detailed3834[[#This Row],[Input Power  (mW)]]</f>
        <v/>
      </c>
      <c r="F60" s="57">
        <f>normalized_results_detailed3834[[#This Row],[SAR_trunk (mW/kg)]]*10^3/normalized_results_detailed3834[[#This Row],[Input Power  (mW)]]</f>
        <v/>
      </c>
      <c r="G60" s="57">
        <f>normalized_results_detailed3834[[#This Row],[SAR averagedbrain(mW/kg)]]*10^3/normalized_results_detailed3834[[#This Row],[Input Power  (mW)]]</f>
        <v/>
      </c>
      <c r="H60" s="57">
        <f>Ella_front!H60*10^3/normalized_results_detailed3834[[#This Row],[Input Power  (mW)]]</f>
        <v/>
      </c>
      <c r="I60" s="57">
        <f>Ella_front!I60*10^3/normalized_results_detailed3834[[#This Row],[Input Power  (mW)]]</f>
        <v/>
      </c>
      <c r="J60" s="57">
        <f>Ella_front!J60*10^3/normalized_results_detailed3834[[#This Row],[Input Power  (mW)]]</f>
        <v/>
      </c>
    </row>
    <row r="61" ht="15.75" customHeight="1">
      <c r="A61" s="58" t="n">
        <v>5800</v>
      </c>
      <c r="B61" s="58" t="inlineStr">
        <is>
          <t>front_of_eyes_left_horizontal</t>
        </is>
      </c>
      <c r="C61" s="58" t="n">
        <v>1</v>
      </c>
      <c r="D61" s="59">
        <f>normalized_results_detailed3834[[#This Row],[SAR_wholebody (mW/kg)]]*10^3/normalized_results_detailed3834[[#This Row],[Input Power  (mW)]]</f>
        <v/>
      </c>
      <c r="E61" s="59">
        <f>normalized_results_detailed3834[[#This Row],[SAR_head (mW/kg)]]*10^3/normalized_results_detailed3834[[#This Row],[Input Power  (mW)]]</f>
        <v/>
      </c>
      <c r="F61" s="59">
        <f>normalized_results_detailed3834[[#This Row],[SAR_trunk (mW/kg)]]*10^3/normalized_results_detailed3834[[#This Row],[Input Power  (mW)]]</f>
        <v/>
      </c>
      <c r="G61" s="59">
        <f>normalized_results_detailed3834[[#This Row],[SAR averagedbrain(mW/kg)]]*10^3/normalized_results_detailed3834[[#This Row],[Input Power  (mW)]]</f>
        <v/>
      </c>
      <c r="H61" s="59">
        <f>Ella_front!H61*10^3/normalized_results_detailed3834[[#This Row],[Input Power  (mW)]]</f>
        <v/>
      </c>
      <c r="I61" s="59">
        <f>Ella_front!I61*10^3/normalized_results_detailed3834[[#This Row],[Input Power  (mW)]]</f>
        <v/>
      </c>
      <c r="J61" s="59">
        <f>Ella_front!J61*10^3/normalized_results_detailed3834[[#This Row],[Input Power  (mW)]]</f>
        <v/>
      </c>
    </row>
    <row r="62" ht="15.75" customHeight="1">
      <c r="A62" s="56" t="n">
        <v>5800</v>
      </c>
      <c r="B62" s="56" t="inlineStr">
        <is>
          <t>front_of_eyes_right_vertical</t>
        </is>
      </c>
      <c r="C62" s="56" t="n">
        <v>1</v>
      </c>
      <c r="D62" s="57">
        <f>normalized_results_detailed3834[[#This Row],[SAR_wholebody (mW/kg)]]*10^3/normalized_results_detailed3834[[#This Row],[Input Power  (mW)]]</f>
        <v/>
      </c>
      <c r="E62" s="57">
        <f>normalized_results_detailed3834[[#This Row],[SAR_head (mW/kg)]]*10^3/normalized_results_detailed3834[[#This Row],[Input Power  (mW)]]</f>
        <v/>
      </c>
      <c r="F62" s="57">
        <f>normalized_results_detailed3834[[#This Row],[SAR_trunk (mW/kg)]]*10^3/normalized_results_detailed3834[[#This Row],[Input Power  (mW)]]</f>
        <v/>
      </c>
      <c r="G62" s="57">
        <f>normalized_results_detailed3834[[#This Row],[SAR averagedbrain(mW/kg)]]*10^3/normalized_results_detailed3834[[#This Row],[Input Power  (mW)]]</f>
        <v/>
      </c>
      <c r="H62" s="57">
        <f>Ella_front!H62*10^3/normalized_results_detailed3834[[#This Row],[Input Power  (mW)]]</f>
        <v/>
      </c>
      <c r="I62" s="57">
        <f>Ella_front!I62*10^3/normalized_results_detailed3834[[#This Row],[Input Power  (mW)]]</f>
        <v/>
      </c>
      <c r="J62" s="57">
        <f>Ella_front!J62*10^3/normalized_results_detailed3834[[#This Row],[Input Power  (mW)]]</f>
        <v/>
      </c>
    </row>
    <row r="63" ht="15.75" customHeight="1">
      <c r="A63" s="58" t="n">
        <v>5800</v>
      </c>
      <c r="B63" s="58" t="inlineStr">
        <is>
          <t>front_of_eyes_right_horizontal</t>
        </is>
      </c>
      <c r="C63" s="58" t="n">
        <v>1</v>
      </c>
      <c r="D63" s="59">
        <f>normalized_results_detailed3834[[#This Row],[SAR_wholebody (mW/kg)]]*10^3/normalized_results_detailed3834[[#This Row],[Input Power  (mW)]]</f>
        <v/>
      </c>
      <c r="E63" s="59">
        <f>normalized_results_detailed3834[[#This Row],[SAR_head (mW/kg)]]*10^3/normalized_results_detailed3834[[#This Row],[Input Power  (mW)]]</f>
        <v/>
      </c>
      <c r="F63" s="59">
        <f>normalized_results_detailed3834[[#This Row],[SAR_trunk (mW/kg)]]*10^3/normalized_results_detailed3834[[#This Row],[Input Power  (mW)]]</f>
        <v/>
      </c>
      <c r="G63" s="59">
        <f>normalized_results_detailed3834[[#This Row],[SAR averagedbrain(mW/kg)]]*10^3/normalized_results_detailed3834[[#This Row],[Input Power  (mW)]]</f>
        <v/>
      </c>
      <c r="H63" s="59">
        <f>Ella_front!H63*10^3/normalized_results_detailed3834[[#This Row],[Input Power  (mW)]]</f>
        <v/>
      </c>
      <c r="I63" s="59">
        <f>Ella_front!I63*10^3/normalized_results_detailed3834[[#This Row],[Input Power  (mW)]]</f>
        <v/>
      </c>
      <c r="J63" s="59">
        <f>Ella_front!J63*10^3/normalized_results_detailed3834[[#This Row],[Input Power  (mW)]]</f>
        <v/>
      </c>
    </row>
    <row r="64" ht="15.75" customHeight="1">
      <c r="A64" s="56" t="n">
        <v>5800</v>
      </c>
      <c r="B64" s="56" t="inlineStr">
        <is>
          <t>front_of_eyes_down_vertical</t>
        </is>
      </c>
      <c r="C64" s="56" t="n">
        <v>1</v>
      </c>
      <c r="D64" s="57">
        <f>normalized_results_detailed3834[[#This Row],[SAR_wholebody (mW/kg)]]*10^3/normalized_results_detailed3834[[#This Row],[Input Power  (mW)]]</f>
        <v/>
      </c>
      <c r="E64" s="57">
        <f>normalized_results_detailed3834[[#This Row],[SAR_head (mW/kg)]]*10^3/normalized_results_detailed3834[[#This Row],[Input Power  (mW)]]</f>
        <v/>
      </c>
      <c r="F64" s="57">
        <f>normalized_results_detailed3834[[#This Row],[SAR_trunk (mW/kg)]]*10^3/normalized_results_detailed3834[[#This Row],[Input Power  (mW)]]</f>
        <v/>
      </c>
      <c r="G64" s="57">
        <f>normalized_results_detailed3834[[#This Row],[SAR averagedbrain(mW/kg)]]*10^3/normalized_results_detailed3834[[#This Row],[Input Power  (mW)]]</f>
        <v/>
      </c>
      <c r="H64" s="57">
        <f>Ella_front!H64*10^3/normalized_results_detailed3834[[#This Row],[Input Power  (mW)]]</f>
        <v/>
      </c>
      <c r="I64" s="57">
        <f>Ella_front!I64*10^3/normalized_results_detailed3834[[#This Row],[Input Power  (mW)]]</f>
        <v/>
      </c>
      <c r="J64" s="57">
        <f>Ella_front!J64*10^3/normalized_results_detailed3834[[#This Row],[Input Power  (mW)]]</f>
        <v/>
      </c>
    </row>
    <row r="65" ht="16.5" customHeight="1" thickBot="1">
      <c r="A65" s="8" t="n">
        <v>5800</v>
      </c>
      <c r="B65" s="8" t="inlineStr">
        <is>
          <t>front_of_eyes_down_horizontal</t>
        </is>
      </c>
      <c r="C65" s="8" t="n">
        <v>1</v>
      </c>
      <c r="D65" s="12">
        <f>normalized_results_detailed3834[[#This Row],[SAR_wholebody (mW/kg)]]*10^3/normalized_results_detailed3834[[#This Row],[Input Power  (mW)]]</f>
        <v/>
      </c>
      <c r="E65" s="12">
        <f>normalized_results_detailed3834[[#This Row],[SAR_head (mW/kg)]]*10^3/normalized_results_detailed3834[[#This Row],[Input Power  (mW)]]</f>
        <v/>
      </c>
      <c r="F65" s="12">
        <f>normalized_results_detailed3834[[#This Row],[SAR_trunk (mW/kg)]]*10^3/normalized_results_detailed3834[[#This Row],[Input Power  (mW)]]</f>
        <v/>
      </c>
      <c r="G65" s="12">
        <f>normalized_results_detailed3834[[#This Row],[SAR averagedbrain(mW/kg)]]*10^3/normalized_results_detailed3834[[#This Row],[Input Power  (mW)]]</f>
        <v/>
      </c>
      <c r="H65" s="12">
        <f>Ella_front!H65*10^3/normalized_results_detailed3834[[#This Row],[Input Power  (mW)]]</f>
        <v/>
      </c>
      <c r="I65" s="12">
        <f>Ella_front!I65*10^3/normalized_results_detailed3834[[#This Row],[Input Power  (mW)]]</f>
        <v/>
      </c>
      <c r="J65" s="12">
        <f>Ella_front!J65*10^3/normalized_results_detailed3834[[#This Row],[Input Power  (mW)]]</f>
        <v/>
      </c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"/>
  <sheetViews>
    <sheetView zoomScale="75" zoomScaleNormal="248" workbookViewId="0">
      <selection activeCell="M29" sqref="M29"/>
    </sheetView>
  </sheetViews>
  <sheetFormatPr baseColWidth="10" defaultColWidth="8.6640625" defaultRowHeight="15"/>
  <cols>
    <col width="12.5" bestFit="1" customWidth="1" min="1" max="1"/>
    <col width="23" bestFit="1" customWidth="1" min="2" max="2"/>
    <col width="14.6640625" bestFit="1" customWidth="1" min="3" max="3"/>
    <col width="20" bestFit="1" customWidth="1" min="4" max="4"/>
    <col width="15.1640625" bestFit="1" customWidth="1" min="5" max="5"/>
    <col width="15.33203125" bestFit="1" customWidth="1" min="6" max="6"/>
    <col width="21" bestFit="1" customWidth="1" min="7" max="7"/>
    <col width="20" bestFit="1" customWidth="1" min="8" max="8"/>
    <col width="19.33203125" bestFit="1" customWidth="1" min="9" max="9"/>
    <col width="20" bestFit="1" customWidth="1" min="10" max="10"/>
  </cols>
  <sheetData>
    <row r="1" ht="16.5" customHeight="1" thickBot="1">
      <c r="A1" s="3" t="inlineStr">
        <is>
          <t>frequency_MHz</t>
        </is>
      </c>
      <c r="B1" s="3" t="inlineStr">
        <is>
          <t>placement</t>
        </is>
      </c>
      <c r="C1" s="4" t="inlineStr">
        <is>
          <t>Input Power  (mW)</t>
        </is>
      </c>
      <c r="D1" s="4" t="inlineStr">
        <is>
          <t>SAR_wholebody (mW/kg)</t>
        </is>
      </c>
      <c r="E1" s="4" t="inlineStr">
        <is>
          <t>SAR_head (mW/kg)</t>
        </is>
      </c>
      <c r="F1" s="4" t="inlineStr">
        <is>
          <t>SAR_trunk (mW/kg)</t>
        </is>
      </c>
      <c r="G1" s="4" t="inlineStr">
        <is>
          <t>SAR averagedbrain(mW/kg)</t>
        </is>
      </c>
      <c r="H1" s="4" t="inlineStr">
        <is>
          <t>psSAR10g_eyes  (mW/kg)</t>
        </is>
      </c>
      <c r="I1" s="4" t="inlineStr">
        <is>
          <t>psSAR10g_skin (mW/kg)</t>
        </is>
      </c>
      <c r="J1" s="4" t="inlineStr">
        <is>
          <t>psSAR10g_brain (mW/kg)</t>
        </is>
      </c>
    </row>
    <row r="2" ht="14.25" customHeight="1">
      <c r="A2" s="5" t="n">
        <v>700</v>
      </c>
      <c r="B2" s="5" t="inlineStr">
        <is>
          <t>belly_level_center_vertical</t>
        </is>
      </c>
      <c r="C2" s="5" t="n">
        <v>813</v>
      </c>
      <c r="D2" s="9" t="n">
        <v>0.4059</v>
      </c>
      <c r="E2" s="9" t="n">
        <v>0.01843</v>
      </c>
      <c r="F2" s="9" t="n">
        <v>0.5066000000000001</v>
      </c>
      <c r="G2" s="9" t="n">
        <v>0.007969754552652419</v>
      </c>
      <c r="H2" s="9" t="n">
        <v>0.0818</v>
      </c>
      <c r="I2" s="9" t="n">
        <v>6.196</v>
      </c>
      <c r="J2" s="9" t="n">
        <v>0.01982</v>
      </c>
    </row>
    <row r="3" ht="15.75" customHeight="1">
      <c r="A3" s="58" t="n">
        <v>700</v>
      </c>
      <c r="B3" s="58" t="inlineStr">
        <is>
          <t>belly_level_center_horizontal</t>
        </is>
      </c>
      <c r="C3" s="58" t="n">
        <v>813</v>
      </c>
      <c r="D3" s="59" t="n">
        <v>0.4439</v>
      </c>
      <c r="E3" s="59" t="n">
        <v>0.05276</v>
      </c>
      <c r="F3" s="59" t="n">
        <v>0.6771</v>
      </c>
      <c r="G3" s="59" t="n">
        <v>0.0408802537668517</v>
      </c>
      <c r="H3" s="59" t="n">
        <v>0.3446</v>
      </c>
      <c r="I3" s="59" t="n">
        <v>6.135</v>
      </c>
      <c r="J3" s="59" t="n">
        <v>0.06306</v>
      </c>
    </row>
    <row r="4" ht="15.75" customHeight="1">
      <c r="A4" s="56" t="n">
        <v>700</v>
      </c>
      <c r="B4" s="56" t="inlineStr">
        <is>
          <t>belly_level_left_vertical</t>
        </is>
      </c>
      <c r="C4" s="56" t="n">
        <v>813</v>
      </c>
      <c r="D4" s="57" t="n">
        <v>0.4041</v>
      </c>
      <c r="E4" s="57" t="n">
        <v>0.02292</v>
      </c>
      <c r="F4" s="57" t="n">
        <v>0.4424</v>
      </c>
      <c r="G4" s="57" t="n">
        <v>0.0110494657696874</v>
      </c>
      <c r="H4" s="57" t="n">
        <v>0.1063</v>
      </c>
      <c r="I4" s="57" t="n">
        <v>8.657999999999999</v>
      </c>
      <c r="J4" s="57" t="n">
        <v>0.02663</v>
      </c>
    </row>
    <row r="5" ht="15.75" customHeight="1">
      <c r="A5" s="58" t="n">
        <v>700</v>
      </c>
      <c r="B5" s="58" t="inlineStr">
        <is>
          <t>belly_level_left_horizontal</t>
        </is>
      </c>
      <c r="C5" s="58" t="n">
        <v>813</v>
      </c>
      <c r="D5" s="59" t="n">
        <v>0.4649</v>
      </c>
      <c r="E5" s="59" t="n">
        <v>0.06279</v>
      </c>
      <c r="F5" s="59" t="n">
        <v>0.7224</v>
      </c>
      <c r="G5" s="59" t="n">
        <v>0.0443601520430789</v>
      </c>
      <c r="H5" s="59" t="n">
        <v>0.3658</v>
      </c>
      <c r="I5" s="59" t="n">
        <v>6.355</v>
      </c>
      <c r="J5" s="59" t="n">
        <v>0.07691000000000001</v>
      </c>
    </row>
    <row r="6" ht="15.75" customHeight="1">
      <c r="A6" s="56" t="n">
        <v>700</v>
      </c>
      <c r="B6" s="56" t="inlineStr">
        <is>
          <t>belly_level_right_vertical</t>
        </is>
      </c>
      <c r="C6" s="56" t="n">
        <v>813</v>
      </c>
      <c r="D6" s="57" t="n">
        <v>0.3851</v>
      </c>
      <c r="E6" s="57" t="n">
        <v>0.02319</v>
      </c>
      <c r="F6" s="57" t="n">
        <v>0.4569</v>
      </c>
      <c r="G6" s="57" t="n">
        <v>0.009382313356028821</v>
      </c>
      <c r="H6" s="57" t="n">
        <v>0.08968</v>
      </c>
      <c r="I6" s="57" t="n">
        <v>10.58</v>
      </c>
      <c r="J6" s="57" t="n">
        <v>0.02489</v>
      </c>
    </row>
    <row r="7" ht="15.75" customHeight="1">
      <c r="A7" s="58" t="n">
        <v>700</v>
      </c>
      <c r="B7" s="58" t="inlineStr">
        <is>
          <t>belly_level_right_horizontal</t>
        </is>
      </c>
      <c r="C7" s="58" t="n">
        <v>813</v>
      </c>
      <c r="D7" s="59" t="n">
        <v>0.3688</v>
      </c>
      <c r="E7" s="59" t="n">
        <v>0.06124</v>
      </c>
      <c r="F7" s="59" t="n">
        <v>0.4322</v>
      </c>
      <c r="G7" s="59" t="n">
        <v>0.0506007123070835</v>
      </c>
      <c r="H7" s="59" t="n">
        <v>0.3298</v>
      </c>
      <c r="I7" s="59" t="n">
        <v>6.179</v>
      </c>
      <c r="J7" s="59" t="n">
        <v>0.05662</v>
      </c>
    </row>
    <row r="8" ht="15.75" customHeight="1">
      <c r="A8" s="56" t="n">
        <v>700</v>
      </c>
      <c r="B8" s="56" t="inlineStr">
        <is>
          <t>belly_level_up_vertical</t>
        </is>
      </c>
      <c r="C8" s="56" t="n">
        <v>813</v>
      </c>
      <c r="D8" s="57" t="n">
        <v>0.3748</v>
      </c>
      <c r="E8" s="57" t="n">
        <v>0.04226</v>
      </c>
      <c r="F8" s="57" t="n">
        <v>0.6964</v>
      </c>
      <c r="G8" s="57" t="n">
        <v>0.0158487727632621</v>
      </c>
      <c r="H8" s="57" t="n">
        <v>0.1764</v>
      </c>
      <c r="I8" s="57" t="n">
        <v>6.878</v>
      </c>
      <c r="J8" s="57" t="n">
        <v>0.03847</v>
      </c>
    </row>
    <row r="9" ht="16.5" customHeight="1" thickBot="1">
      <c r="A9" s="8" t="n">
        <v>700</v>
      </c>
      <c r="B9" s="8" t="inlineStr">
        <is>
          <t>belly_level_up_horizontal</t>
        </is>
      </c>
      <c r="C9" s="8" t="n">
        <v>813</v>
      </c>
      <c r="D9" s="12" t="n">
        <v>0.4432</v>
      </c>
      <c r="E9" s="12" t="n">
        <v>0.09429</v>
      </c>
      <c r="F9" s="12" t="n">
        <v>0.8100000000000001</v>
      </c>
      <c r="G9" s="12" t="n">
        <v>0.0678318794607454</v>
      </c>
      <c r="H9" s="12" t="n">
        <v>0.5551</v>
      </c>
      <c r="I9" s="12" t="n">
        <v>6.425</v>
      </c>
      <c r="J9" s="12" t="n">
        <v>0.1248</v>
      </c>
    </row>
    <row r="10" ht="15.75" customHeight="1">
      <c r="A10" s="5" t="n">
        <v>835</v>
      </c>
      <c r="B10" s="5" t="inlineStr">
        <is>
          <t>belly_level_center_vertical</t>
        </is>
      </c>
      <c r="C10" s="5" t="n">
        <v>636.9</v>
      </c>
      <c r="D10" s="9" t="n">
        <v>0.4652</v>
      </c>
      <c r="E10" s="9" t="n">
        <v>0.0263</v>
      </c>
      <c r="F10" s="9" t="n">
        <v>0.5496</v>
      </c>
      <c r="G10" s="9" t="n">
        <v>0.0126930472785062</v>
      </c>
      <c r="H10" s="9" t="n">
        <v>0.1584</v>
      </c>
      <c r="I10" s="9" t="n">
        <v>8.644</v>
      </c>
      <c r="J10" s="9" t="n">
        <v>0.02147</v>
      </c>
    </row>
    <row r="11" ht="15.75" customHeight="1">
      <c r="A11" s="58" t="n">
        <v>835</v>
      </c>
      <c r="B11" s="58" t="inlineStr">
        <is>
          <t>belly_level_center_horizontal</t>
        </is>
      </c>
      <c r="C11" s="58" t="n">
        <v>636.9</v>
      </c>
      <c r="D11" s="59" t="n">
        <v>0.4817</v>
      </c>
      <c r="E11" s="59" t="n">
        <v>0.04253</v>
      </c>
      <c r="F11" s="59" t="n">
        <v>0.7286</v>
      </c>
      <c r="G11" s="59" t="n">
        <v>0.0327530589543938</v>
      </c>
      <c r="H11" s="59" t="n">
        <v>0.1994</v>
      </c>
      <c r="I11" s="59" t="n">
        <v>8.627000000000001</v>
      </c>
      <c r="J11" s="59" t="n">
        <v>0.05093</v>
      </c>
    </row>
    <row r="12" ht="15.75" customHeight="1">
      <c r="A12" s="56" t="n">
        <v>835</v>
      </c>
      <c r="B12" s="56" t="inlineStr">
        <is>
          <t>belly_level_left_vertical</t>
        </is>
      </c>
      <c r="C12" s="56" t="n">
        <v>636.9</v>
      </c>
      <c r="D12" s="57" t="n">
        <v>0.3841</v>
      </c>
      <c r="E12" s="57" t="n">
        <v>0.02707</v>
      </c>
      <c r="F12" s="57" t="n">
        <v>0.3795</v>
      </c>
      <c r="G12" s="57" t="n">
        <v>0.0160889083108216</v>
      </c>
      <c r="H12" s="57" t="n">
        <v>0.1673</v>
      </c>
      <c r="I12" s="57" t="n">
        <v>9.58</v>
      </c>
      <c r="J12" s="57" t="n">
        <v>0.02308</v>
      </c>
    </row>
    <row r="13" ht="15.75" customHeight="1">
      <c r="A13" s="58" t="n">
        <v>835</v>
      </c>
      <c r="B13" s="58" t="inlineStr">
        <is>
          <t>belly_level_left_horizontal</t>
        </is>
      </c>
      <c r="C13" s="58" t="n">
        <v>636.9</v>
      </c>
      <c r="D13" s="59" t="n">
        <v>0.525</v>
      </c>
      <c r="E13" s="59" t="n">
        <v>0.05235</v>
      </c>
      <c r="F13" s="59" t="n">
        <v>0.8038</v>
      </c>
      <c r="G13" s="59" t="n">
        <v>0.0384333809750675</v>
      </c>
      <c r="H13" s="59" t="n">
        <v>0.269</v>
      </c>
      <c r="I13" s="59" t="n">
        <v>10.3</v>
      </c>
      <c r="J13" s="59" t="n">
        <v>0.06313000000000001</v>
      </c>
    </row>
    <row r="14" ht="15.75" customHeight="1">
      <c r="A14" s="56" t="n">
        <v>835</v>
      </c>
      <c r="B14" s="56" t="inlineStr">
        <is>
          <t>belly_level_right_vertical</t>
        </is>
      </c>
      <c r="C14" s="56" t="n">
        <v>636.9</v>
      </c>
      <c r="D14" s="57" t="n">
        <v>0.3965</v>
      </c>
      <c r="E14" s="57" t="n">
        <v>0.02082</v>
      </c>
      <c r="F14" s="57" t="n">
        <v>0.4346</v>
      </c>
      <c r="G14" s="57" t="n">
        <v>0.00912935007150803</v>
      </c>
      <c r="H14" s="57" t="n">
        <v>0.1032</v>
      </c>
      <c r="I14" s="57" t="n">
        <v>8.653</v>
      </c>
      <c r="J14" s="57" t="n">
        <v>0.01543</v>
      </c>
    </row>
    <row r="15" ht="15.75" customHeight="1">
      <c r="A15" s="58" t="n">
        <v>835</v>
      </c>
      <c r="B15" s="58" t="inlineStr">
        <is>
          <t>belly_level_right_horizontal</t>
        </is>
      </c>
      <c r="C15" s="58" t="n">
        <v>636.9</v>
      </c>
      <c r="D15" s="59" t="n">
        <v>0.2939</v>
      </c>
      <c r="E15" s="59" t="n">
        <v>0.03889</v>
      </c>
      <c r="F15" s="59" t="n">
        <v>0.3405</v>
      </c>
      <c r="G15" s="59" t="n">
        <v>0.0283068488797076</v>
      </c>
      <c r="H15" s="59" t="n">
        <v>0.1561</v>
      </c>
      <c r="I15" s="59" t="n">
        <v>7.098</v>
      </c>
      <c r="J15" s="59" t="n">
        <v>0.03491</v>
      </c>
    </row>
    <row r="16" ht="15.75" customHeight="1">
      <c r="A16" s="56" t="n">
        <v>835</v>
      </c>
      <c r="B16" s="56" t="inlineStr">
        <is>
          <t>belly_level_up_vertical</t>
        </is>
      </c>
      <c r="C16" s="56" t="n">
        <v>636.9</v>
      </c>
      <c r="D16" s="57" t="n">
        <v>0.4329</v>
      </c>
      <c r="E16" s="57" t="n">
        <v>0.06068</v>
      </c>
      <c r="F16" s="57" t="n">
        <v>0.7786</v>
      </c>
      <c r="G16" s="57" t="n">
        <v>0.0259515295987287</v>
      </c>
      <c r="H16" s="57" t="n">
        <v>0.3334</v>
      </c>
      <c r="I16" s="57" t="n">
        <v>8.773999999999999</v>
      </c>
      <c r="J16" s="57" t="n">
        <v>0.04396</v>
      </c>
    </row>
    <row r="17" ht="16.5" customHeight="1" thickBot="1">
      <c r="A17" s="8" t="n">
        <v>835</v>
      </c>
      <c r="B17" s="8" t="inlineStr">
        <is>
          <t>belly_level_up_horizontal</t>
        </is>
      </c>
      <c r="C17" s="8" t="n">
        <v>636.9</v>
      </c>
      <c r="D17" s="12" t="n">
        <v>0.4449</v>
      </c>
      <c r="E17" s="12" t="n">
        <v>0.08151</v>
      </c>
      <c r="F17" s="12" t="n">
        <v>0.8063</v>
      </c>
      <c r="G17" s="12" t="n">
        <v>0.0554552677578262</v>
      </c>
      <c r="H17" s="12" t="n">
        <v>0.3897</v>
      </c>
      <c r="I17" s="12" t="n">
        <v>6.576</v>
      </c>
      <c r="J17" s="12" t="n">
        <v>0.09529</v>
      </c>
    </row>
    <row r="18" ht="15.75" customHeight="1">
      <c r="A18" s="5" t="n">
        <v>1450</v>
      </c>
      <c r="B18" s="5" t="inlineStr">
        <is>
          <t>belly_level_center_vertical</t>
        </is>
      </c>
      <c r="C18" s="5" t="n">
        <v>131.7</v>
      </c>
      <c r="D18" s="9" t="n">
        <v>0.3356</v>
      </c>
      <c r="E18" s="57" t="n">
        <v>0.07582</v>
      </c>
      <c r="F18" s="57" t="n">
        <v>0.413</v>
      </c>
      <c r="G18" s="57" t="n">
        <v>0.0319311088049812</v>
      </c>
      <c r="H18" s="57" t="n">
        <v>0.2939</v>
      </c>
      <c r="I18" s="57" t="n">
        <v>7.666</v>
      </c>
      <c r="J18" s="57" t="n">
        <v>0.01174</v>
      </c>
    </row>
    <row r="19" ht="15.75" customHeight="1">
      <c r="A19" s="58" t="n">
        <v>1450</v>
      </c>
      <c r="B19" s="58" t="inlineStr">
        <is>
          <t>belly_level_center_horizontal</t>
        </is>
      </c>
      <c r="C19" s="58" t="n">
        <v>131.7</v>
      </c>
      <c r="D19" s="59" t="n">
        <v>0.2515</v>
      </c>
      <c r="E19" s="59" t="n">
        <v>0.04318</v>
      </c>
      <c r="F19" s="59" t="n">
        <v>0.3731</v>
      </c>
      <c r="G19" s="59" t="n">
        <v>0.0169621919119407</v>
      </c>
      <c r="H19" s="59" t="n">
        <v>0.1677</v>
      </c>
      <c r="I19" s="59" t="n">
        <v>6.427</v>
      </c>
      <c r="J19" s="59" t="n">
        <v>0.005565</v>
      </c>
    </row>
    <row r="20" ht="15.75" customHeight="1">
      <c r="A20" s="56" t="n">
        <v>1450</v>
      </c>
      <c r="B20" s="56" t="inlineStr">
        <is>
          <t>belly_level_left_vertical</t>
        </is>
      </c>
      <c r="C20" s="56" t="n">
        <v>131.7</v>
      </c>
      <c r="D20" s="57" t="n">
        <v>0.2776</v>
      </c>
      <c r="E20" s="57" t="n">
        <v>0.06526</v>
      </c>
      <c r="F20" s="57" t="n">
        <v>0.2894</v>
      </c>
      <c r="G20" s="57" t="n">
        <v>0.0301940084455422</v>
      </c>
      <c r="H20" s="57" t="n">
        <v>0.3154</v>
      </c>
      <c r="I20" s="57" t="n">
        <v>7.578</v>
      </c>
      <c r="J20" s="57" t="n">
        <v>0.01161</v>
      </c>
    </row>
    <row r="21" ht="15.75" customHeight="1">
      <c r="A21" s="58" t="n">
        <v>1450</v>
      </c>
      <c r="B21" s="58" t="inlineStr">
        <is>
          <t>belly_level_left_horizontal</t>
        </is>
      </c>
      <c r="C21" s="58" t="n">
        <v>131.7</v>
      </c>
      <c r="D21" s="59" t="n">
        <v>0.2752</v>
      </c>
      <c r="E21" s="59" t="n">
        <v>0.03089</v>
      </c>
      <c r="F21" s="59" t="n">
        <v>0.3609</v>
      </c>
      <c r="G21" s="59" t="n">
        <v>0.0119123744219423</v>
      </c>
      <c r="H21" s="59" t="n">
        <v>0.1498</v>
      </c>
      <c r="I21" s="59" t="n">
        <v>4.95</v>
      </c>
      <c r="J21" s="59" t="n">
        <v>0.00502</v>
      </c>
    </row>
    <row r="22" ht="15.75" customHeight="1">
      <c r="A22" s="56" t="n">
        <v>1450</v>
      </c>
      <c r="B22" s="56" t="inlineStr">
        <is>
          <t>belly_level_right_vertical</t>
        </is>
      </c>
      <c r="C22" s="56" t="n">
        <v>131.7</v>
      </c>
      <c r="D22" s="57" t="n">
        <v>0.3234</v>
      </c>
      <c r="E22" s="57" t="n">
        <v>0.09093</v>
      </c>
      <c r="F22" s="57" t="n">
        <v>0.3558</v>
      </c>
      <c r="G22" s="57" t="n">
        <v>0.0408676599474146</v>
      </c>
      <c r="H22" s="57" t="n">
        <v>0.4528</v>
      </c>
      <c r="I22" s="57" t="n">
        <v>6.34</v>
      </c>
      <c r="J22" s="57" t="n">
        <v>0.01378</v>
      </c>
    </row>
    <row r="23" ht="15.75" customHeight="1">
      <c r="A23" s="58" t="n">
        <v>1450</v>
      </c>
      <c r="B23" s="58" t="inlineStr">
        <is>
          <t>belly_level_right_horizontal</t>
        </is>
      </c>
      <c r="C23" s="58" t="n">
        <v>131.7</v>
      </c>
      <c r="D23" s="59" t="n">
        <v>0.2233</v>
      </c>
      <c r="E23" s="59" t="n">
        <v>0.04884</v>
      </c>
      <c r="F23" s="59" t="n">
        <v>0.3543</v>
      </c>
      <c r="G23" s="59" t="n">
        <v>0.0211055692773484</v>
      </c>
      <c r="H23" s="59" t="n">
        <v>0.2466</v>
      </c>
      <c r="I23" s="59" t="n">
        <v>6.665</v>
      </c>
      <c r="J23" s="59" t="n">
        <v>0.008448000000000001</v>
      </c>
    </row>
    <row r="24" ht="15.75" customHeight="1">
      <c r="A24" s="56" t="n">
        <v>1450</v>
      </c>
      <c r="B24" s="56" t="inlineStr">
        <is>
          <t>belly_level_up_vertical</t>
        </is>
      </c>
      <c r="C24" s="56" t="n">
        <v>131.7</v>
      </c>
      <c r="D24" s="57" t="n">
        <v>0.3109</v>
      </c>
      <c r="E24" s="57" t="n">
        <v>0.1714</v>
      </c>
      <c r="F24" s="57" t="n">
        <v>0.4642</v>
      </c>
      <c r="G24" s="57" t="n">
        <v>0.070832601580586</v>
      </c>
      <c r="H24" s="57" t="n">
        <v>0.6576</v>
      </c>
      <c r="I24" s="57" t="n">
        <v>7.327</v>
      </c>
      <c r="J24" s="57" t="n">
        <v>0.03087</v>
      </c>
    </row>
    <row r="25" ht="16.5" customHeight="1" thickBot="1">
      <c r="A25" s="8" t="n">
        <v>1450</v>
      </c>
      <c r="B25" s="8" t="inlineStr">
        <is>
          <t>belly_level_up_horizontal</t>
        </is>
      </c>
      <c r="C25" s="8" t="n">
        <v>131.7</v>
      </c>
      <c r="D25" s="12" t="n">
        <v>0.2432</v>
      </c>
      <c r="E25" s="12" t="n">
        <v>0.09505</v>
      </c>
      <c r="F25" s="12" t="n">
        <v>0.4202</v>
      </c>
      <c r="G25" s="12" t="n">
        <v>0.0353436228762862</v>
      </c>
      <c r="H25" s="12" t="n">
        <v>0.3227</v>
      </c>
      <c r="I25" s="12" t="n">
        <v>6.296</v>
      </c>
      <c r="J25" s="12" t="n">
        <v>0.01377</v>
      </c>
    </row>
    <row r="26" ht="15.75" customHeight="1">
      <c r="A26" s="5" t="n">
        <v>2140</v>
      </c>
      <c r="B26" s="5" t="inlineStr">
        <is>
          <t>belly_level_center_vertical</t>
        </is>
      </c>
      <c r="C26" s="5" t="n">
        <v>85.5</v>
      </c>
      <c r="D26" s="9" t="n">
        <v>0.1648</v>
      </c>
      <c r="E26" s="57" t="n">
        <v>0.05261</v>
      </c>
      <c r="F26" s="57" t="n">
        <v>0.217</v>
      </c>
      <c r="G26" s="57" t="n">
        <v>0.00663294267719046</v>
      </c>
      <c r="H26" s="57" t="n">
        <v>0.3243</v>
      </c>
      <c r="I26" s="57" t="n">
        <v>3.543</v>
      </c>
      <c r="J26" s="57" t="n">
        <v>0.0001495</v>
      </c>
    </row>
    <row r="27" ht="15.75" customHeight="1">
      <c r="A27" s="58" t="n">
        <v>2140</v>
      </c>
      <c r="B27" s="58" t="inlineStr">
        <is>
          <t>belly_level_center_horizontal</t>
        </is>
      </c>
      <c r="C27" s="58" t="n">
        <v>85.5</v>
      </c>
      <c r="D27" s="59" t="n">
        <v>0.1286</v>
      </c>
      <c r="E27" s="59" t="n">
        <v>0.025</v>
      </c>
      <c r="F27" s="59" t="n">
        <v>0.1993</v>
      </c>
      <c r="G27" s="59" t="n">
        <v>0.00263058898541484</v>
      </c>
      <c r="H27" s="59" t="n">
        <v>0.125</v>
      </c>
      <c r="I27" s="59" t="n">
        <v>4.276</v>
      </c>
      <c r="J27" s="59" t="n">
        <v>6.588e-05</v>
      </c>
    </row>
    <row r="28" ht="15.75" customHeight="1">
      <c r="A28" s="56" t="n">
        <v>2140</v>
      </c>
      <c r="B28" s="56" t="inlineStr">
        <is>
          <t>belly_level_left_vertical</t>
        </is>
      </c>
      <c r="C28" s="56" t="n">
        <v>85.5</v>
      </c>
      <c r="D28" s="57" t="n">
        <v>0.146</v>
      </c>
      <c r="E28" s="57" t="n">
        <v>0.03059</v>
      </c>
      <c r="F28" s="57" t="n">
        <v>0.1655</v>
      </c>
      <c r="G28" s="57" t="n">
        <v>0.00264091162642442</v>
      </c>
      <c r="H28" s="57" t="n">
        <v>0.247</v>
      </c>
      <c r="I28" s="57" t="n">
        <v>4.741</v>
      </c>
      <c r="J28" s="57" t="n">
        <v>1.528e-05</v>
      </c>
    </row>
    <row r="29" ht="15.75" customHeight="1">
      <c r="A29" s="58" t="n">
        <v>2140</v>
      </c>
      <c r="B29" s="58" t="inlineStr">
        <is>
          <t>belly_level_left_horizontal</t>
        </is>
      </c>
      <c r="C29" s="58" t="n">
        <v>85.5</v>
      </c>
      <c r="D29" s="59" t="n">
        <v>0.1566</v>
      </c>
      <c r="E29" s="59" t="n">
        <v>0.02387</v>
      </c>
      <c r="F29" s="59" t="n">
        <v>0.2179</v>
      </c>
      <c r="G29" s="59" t="n">
        <v>0.00243598979917118</v>
      </c>
      <c r="H29" s="59" t="n">
        <v>0.1341</v>
      </c>
      <c r="I29" s="59" t="n">
        <v>5.118</v>
      </c>
      <c r="J29" s="59" t="n">
        <v>0.0001128</v>
      </c>
    </row>
    <row r="30" ht="15.75" customHeight="1">
      <c r="A30" s="56" t="n">
        <v>2140</v>
      </c>
      <c r="B30" s="56" t="inlineStr">
        <is>
          <t>belly_level_right_vertical</t>
        </is>
      </c>
      <c r="C30" s="56" t="n">
        <v>85.5</v>
      </c>
      <c r="D30" s="57" t="n">
        <v>0.1657</v>
      </c>
      <c r="E30" s="57" t="n">
        <v>0.04825</v>
      </c>
      <c r="F30" s="57" t="n">
        <v>0.1907</v>
      </c>
      <c r="G30" s="57" t="n">
        <v>0.00604648976014025</v>
      </c>
      <c r="H30" s="57" t="n">
        <v>0.367</v>
      </c>
      <c r="I30" s="57" t="n">
        <v>6.242</v>
      </c>
      <c r="J30" s="57" t="n">
        <v>8.905e-05</v>
      </c>
    </row>
    <row r="31" ht="15.75" customHeight="1">
      <c r="A31" s="58" t="n">
        <v>2140</v>
      </c>
      <c r="B31" s="58" t="inlineStr">
        <is>
          <t>belly_level_right_horizontal</t>
        </is>
      </c>
      <c r="C31" s="58" t="n">
        <v>85.5</v>
      </c>
      <c r="D31" s="59" t="n">
        <v>0.1255</v>
      </c>
      <c r="E31" s="59" t="n">
        <v>0.02087</v>
      </c>
      <c r="F31" s="59" t="n">
        <v>0.1501</v>
      </c>
      <c r="G31" s="59" t="n">
        <v>0.00233538927404574</v>
      </c>
      <c r="H31" s="59" t="n">
        <v>0.1554</v>
      </c>
      <c r="I31" s="59" t="n">
        <v>7.092</v>
      </c>
      <c r="J31" s="59" t="n">
        <v>5.115e-05</v>
      </c>
    </row>
    <row r="32" ht="15.75" customHeight="1">
      <c r="A32" s="56" t="n">
        <v>2140</v>
      </c>
      <c r="B32" s="56" t="inlineStr">
        <is>
          <t>belly_level_up_vertical</t>
        </is>
      </c>
      <c r="C32" s="56" t="n">
        <v>85.5</v>
      </c>
      <c r="D32" s="57" t="n">
        <v>0.1705</v>
      </c>
      <c r="E32" s="57" t="n">
        <v>0.1395</v>
      </c>
      <c r="F32" s="57" t="n">
        <v>0.2559</v>
      </c>
      <c r="G32" s="57" t="n">
        <v>0.0225431714900741</v>
      </c>
      <c r="H32" s="57" t="n">
        <v>0.787</v>
      </c>
      <c r="I32" s="57" t="n">
        <v>4.807</v>
      </c>
      <c r="J32" s="57" t="n">
        <v>0.00181</v>
      </c>
    </row>
    <row r="33" ht="16.5" customHeight="1" thickBot="1">
      <c r="A33" s="8" t="n">
        <v>2140</v>
      </c>
      <c r="B33" s="8" t="inlineStr">
        <is>
          <t>belly_level_up_horizontal</t>
        </is>
      </c>
      <c r="C33" s="8" t="n">
        <v>85.5</v>
      </c>
      <c r="D33" s="12" t="n">
        <v>0.1303</v>
      </c>
      <c r="E33" s="12" t="n">
        <v>0.06727</v>
      </c>
      <c r="F33" s="12" t="n">
        <v>0.2367</v>
      </c>
      <c r="G33" s="12" t="n">
        <v>0.008815174942217259</v>
      </c>
      <c r="H33" s="12" t="n">
        <v>0.2728</v>
      </c>
      <c r="I33" s="12" t="n">
        <v>5.527</v>
      </c>
      <c r="J33" s="12" t="n">
        <v>0.000715</v>
      </c>
    </row>
    <row r="34" ht="15.75" customHeight="1">
      <c r="A34" s="5" t="n">
        <v>2450</v>
      </c>
      <c r="B34" s="5" t="inlineStr">
        <is>
          <t>belly_level_center_vertical</t>
        </is>
      </c>
      <c r="C34" s="5" t="n">
        <v>72.5</v>
      </c>
      <c r="D34" s="9" t="n">
        <v>0.1912</v>
      </c>
      <c r="E34" s="9" t="n">
        <v>0.06387</v>
      </c>
      <c r="F34" s="9" t="n">
        <v>0.223</v>
      </c>
      <c r="G34" s="9" t="n">
        <v>0.0143933929141398</v>
      </c>
      <c r="H34" s="9" t="n">
        <v>0.3376</v>
      </c>
      <c r="I34" s="9" t="n">
        <v>4.425</v>
      </c>
      <c r="J34" s="9" t="n">
        <v>0.00294</v>
      </c>
    </row>
    <row r="35" ht="15.75" customHeight="1">
      <c r="A35" s="58" t="n">
        <v>2450</v>
      </c>
      <c r="B35" s="58" t="inlineStr">
        <is>
          <t>belly_level_center_horizontal</t>
        </is>
      </c>
      <c r="C35" s="58" t="n">
        <v>72.5</v>
      </c>
      <c r="D35" s="59" t="n">
        <v>0.1462</v>
      </c>
      <c r="E35" s="59" t="n">
        <v>0.02864</v>
      </c>
      <c r="F35" s="59" t="n">
        <v>0.2036</v>
      </c>
      <c r="G35" s="59" t="n">
        <v>0.00559831698173407</v>
      </c>
      <c r="H35" s="59" t="n">
        <v>0.1709</v>
      </c>
      <c r="I35" s="59" t="n">
        <v>4.889</v>
      </c>
      <c r="J35" s="59" t="n">
        <v>0.0008925</v>
      </c>
    </row>
    <row r="36" ht="15.75" customHeight="1">
      <c r="A36" s="56" t="n">
        <v>2450</v>
      </c>
      <c r="B36" s="56" t="inlineStr">
        <is>
          <t>belly_level_left_vertical</t>
        </is>
      </c>
      <c r="C36" s="56" t="n">
        <v>72.5</v>
      </c>
      <c r="D36" s="57" t="n">
        <v>0.158</v>
      </c>
      <c r="E36" s="57" t="n">
        <v>0.04265</v>
      </c>
      <c r="F36" s="57" t="n">
        <v>0.1272</v>
      </c>
      <c r="G36" s="57" t="n">
        <v>0.0106785685821312</v>
      </c>
      <c r="H36" s="57" t="n">
        <v>0.2899</v>
      </c>
      <c r="I36" s="57" t="n">
        <v>6.354</v>
      </c>
      <c r="J36" s="57" t="n">
        <v>0.002509</v>
      </c>
    </row>
    <row r="37" ht="15.75" customHeight="1">
      <c r="A37" s="58" t="n">
        <v>2450</v>
      </c>
      <c r="B37" s="58" t="inlineStr">
        <is>
          <t>belly_level_left_horizontal</t>
        </is>
      </c>
      <c r="C37" s="58" t="n">
        <v>72.5</v>
      </c>
      <c r="D37" s="59" t="n">
        <v>0.1421</v>
      </c>
      <c r="E37" s="59" t="n">
        <v>0.0202</v>
      </c>
      <c r="F37" s="59" t="n">
        <v>0.1957</v>
      </c>
      <c r="G37" s="59" t="n">
        <v>0.00404679901140078</v>
      </c>
      <c r="H37" s="59" t="n">
        <v>0.07869</v>
      </c>
      <c r="I37" s="59" t="n">
        <v>4.767</v>
      </c>
      <c r="J37" s="59" t="n">
        <v>0.001265</v>
      </c>
    </row>
    <row r="38" ht="15.75" customHeight="1">
      <c r="A38" s="56" t="n">
        <v>2450</v>
      </c>
      <c r="B38" s="56" t="inlineStr">
        <is>
          <t>belly_level_right_vertical</t>
        </is>
      </c>
      <c r="C38" s="56" t="n">
        <v>72.5</v>
      </c>
      <c r="D38" s="57" t="n">
        <v>0.1762</v>
      </c>
      <c r="E38" s="57" t="n">
        <v>0.07451000000000001</v>
      </c>
      <c r="F38" s="57" t="n">
        <v>0.181</v>
      </c>
      <c r="G38" s="57" t="n">
        <v>0.016337052681916</v>
      </c>
      <c r="H38" s="57" t="n">
        <v>0.4991</v>
      </c>
      <c r="I38" s="57" t="n">
        <v>7.055</v>
      </c>
      <c r="J38" s="57" t="n">
        <v>0.002394</v>
      </c>
    </row>
    <row r="39" ht="15.75" customHeight="1">
      <c r="A39" s="58" t="n">
        <v>2450</v>
      </c>
      <c r="B39" s="58" t="inlineStr">
        <is>
          <t>belly_level_right_horizontal</t>
        </is>
      </c>
      <c r="C39" s="58" t="n">
        <v>72.5</v>
      </c>
      <c r="D39" s="59" t="n">
        <v>0.1125</v>
      </c>
      <c r="E39" s="59" t="n">
        <v>0.01405</v>
      </c>
      <c r="F39" s="59" t="n">
        <v>0.1222</v>
      </c>
      <c r="G39" s="59" t="n">
        <v>0.00386140113174464</v>
      </c>
      <c r="H39" s="59" t="n">
        <v>0.1112</v>
      </c>
      <c r="I39" s="59" t="n">
        <v>4.971</v>
      </c>
      <c r="J39" s="59" t="n">
        <v>0.0007435</v>
      </c>
    </row>
    <row r="40" ht="15.75" customHeight="1">
      <c r="A40" s="56" t="n">
        <v>2450</v>
      </c>
      <c r="B40" s="56" t="inlineStr">
        <is>
          <t>belly_level_up_vertical</t>
        </is>
      </c>
      <c r="C40" s="56" t="n">
        <v>72.5</v>
      </c>
      <c r="D40" s="57" t="n">
        <v>0.1913</v>
      </c>
      <c r="E40" s="57" t="n">
        <v>0.1478</v>
      </c>
      <c r="F40" s="57" t="n">
        <v>0.2864</v>
      </c>
      <c r="G40" s="57" t="n">
        <v>0.0297356367698691</v>
      </c>
      <c r="H40" s="57" t="n">
        <v>0.764</v>
      </c>
      <c r="I40" s="57" t="n">
        <v>4.767</v>
      </c>
      <c r="J40" s="57" t="n">
        <v>0.006848</v>
      </c>
    </row>
    <row r="41" ht="16.5" customHeight="1" thickBot="1">
      <c r="A41" s="8" t="n">
        <v>2450</v>
      </c>
      <c r="B41" s="8" t="inlineStr">
        <is>
          <t>belly_level_up_horizontal</t>
        </is>
      </c>
      <c r="C41" s="8" t="n">
        <v>72.5</v>
      </c>
      <c r="D41" s="12" t="n">
        <v>0.1411</v>
      </c>
      <c r="E41" s="12" t="n">
        <v>0.0665</v>
      </c>
      <c r="F41" s="12" t="n">
        <v>0.2423</v>
      </c>
      <c r="G41" s="12" t="n">
        <v>0.008871021775544391</v>
      </c>
      <c r="H41" s="12" t="n">
        <v>0.3654</v>
      </c>
      <c r="I41" s="12" t="n">
        <v>6.263</v>
      </c>
      <c r="J41" s="12" t="n">
        <v>0.001997</v>
      </c>
    </row>
    <row r="42" ht="15.75" customHeight="1">
      <c r="A42" s="5" t="n">
        <v>3500</v>
      </c>
      <c r="B42" s="5" t="inlineStr">
        <is>
          <t>belly_level_center_vertical</t>
        </is>
      </c>
      <c r="C42" s="5" t="n">
        <v>58</v>
      </c>
      <c r="D42" s="9" t="n">
        <v>0.1171</v>
      </c>
      <c r="E42" s="57" t="n">
        <v>0.0244</v>
      </c>
      <c r="F42" s="9" t="n">
        <v>0.108</v>
      </c>
      <c r="G42" s="9" t="n">
        <v>0.00274641632783226</v>
      </c>
      <c r="H42" s="9" t="n">
        <v>0.1501</v>
      </c>
      <c r="I42" s="9" t="n">
        <v>3.204</v>
      </c>
      <c r="J42" s="9" t="n">
        <v>0.0001541</v>
      </c>
    </row>
    <row r="43" ht="15.75" customHeight="1">
      <c r="A43" s="58" t="n">
        <v>3500</v>
      </c>
      <c r="B43" s="58" t="inlineStr">
        <is>
          <t>belly_level_center_horizontal</t>
        </is>
      </c>
      <c r="C43" s="58" t="n">
        <v>58</v>
      </c>
      <c r="D43" s="59" t="n">
        <v>0.09879</v>
      </c>
      <c r="E43" s="59" t="n">
        <v>0.02287</v>
      </c>
      <c r="F43" s="59" t="n">
        <v>0.0956</v>
      </c>
      <c r="G43" s="59" t="n">
        <v>0.00194597800095648</v>
      </c>
      <c r="H43" s="59" t="n">
        <v>0.1633</v>
      </c>
      <c r="I43" s="59" t="n">
        <v>3.591</v>
      </c>
      <c r="J43" s="59" t="n">
        <v>8.267000000000001e-05</v>
      </c>
    </row>
    <row r="44" ht="15.75" customHeight="1">
      <c r="A44" s="56" t="n">
        <v>3500</v>
      </c>
      <c r="B44" s="56" t="inlineStr">
        <is>
          <t>belly_level_left_vertical</t>
        </is>
      </c>
      <c r="C44" s="56" t="n">
        <v>58</v>
      </c>
      <c r="D44" s="57" t="n">
        <v>0.08076</v>
      </c>
      <c r="E44" s="57" t="n">
        <v>0.01241</v>
      </c>
      <c r="F44" s="57" t="n">
        <v>0.05014</v>
      </c>
      <c r="G44" s="57" t="n">
        <v>0.00156289744202725</v>
      </c>
      <c r="H44" s="57" t="n">
        <v>0.08109</v>
      </c>
      <c r="I44" s="57" t="n">
        <v>4.634</v>
      </c>
      <c r="J44" s="57" t="n">
        <v>0.0001178</v>
      </c>
    </row>
    <row r="45" ht="15.75" customHeight="1">
      <c r="A45" s="58" t="n">
        <v>3500</v>
      </c>
      <c r="B45" s="58" t="inlineStr">
        <is>
          <t>belly_level_left_horizontal</t>
        </is>
      </c>
      <c r="C45" s="58" t="n">
        <v>58</v>
      </c>
      <c r="D45" s="59" t="n">
        <v>0.109</v>
      </c>
      <c r="E45" s="59" t="n">
        <v>0.02155</v>
      </c>
      <c r="F45" s="59" t="n">
        <v>0.1056</v>
      </c>
      <c r="G45" s="59" t="n">
        <v>0.00189909945808097</v>
      </c>
      <c r="H45" s="59" t="n">
        <v>0.1556</v>
      </c>
      <c r="I45" s="59" t="n">
        <v>8.654999999999999</v>
      </c>
      <c r="J45" s="59" t="n">
        <v>0.0001186</v>
      </c>
    </row>
    <row r="46" ht="15.75" customHeight="1">
      <c r="A46" s="56" t="n">
        <v>3500</v>
      </c>
      <c r="B46" s="56" t="inlineStr">
        <is>
          <t>belly_level_right_vertical</t>
        </is>
      </c>
      <c r="C46" s="56" t="n">
        <v>58</v>
      </c>
      <c r="D46" s="57" t="n">
        <v>0.1261</v>
      </c>
      <c r="E46" s="57" t="n">
        <v>0.05924</v>
      </c>
      <c r="F46" s="57" t="n">
        <v>0.1539</v>
      </c>
      <c r="G46" s="57" t="n">
        <v>0.00566201290939517</v>
      </c>
      <c r="H46" s="57" t="n">
        <v>0.3853</v>
      </c>
      <c r="I46" s="57" t="n">
        <v>3.621</v>
      </c>
      <c r="J46" s="57" t="n">
        <v>0.0001839</v>
      </c>
    </row>
    <row r="47" ht="15.75" customHeight="1">
      <c r="A47" s="58" t="n">
        <v>3500</v>
      </c>
      <c r="B47" s="58" t="inlineStr">
        <is>
          <t>belly_level_right_horizontal</t>
        </is>
      </c>
      <c r="C47" s="58" t="n">
        <v>58</v>
      </c>
      <c r="D47" s="59" t="n">
        <v>0.08407000000000001</v>
      </c>
      <c r="E47" s="59" t="n">
        <v>0.01903</v>
      </c>
      <c r="F47" s="59" t="n">
        <v>0.07259</v>
      </c>
      <c r="G47" s="59" t="n">
        <v>0.00212212128456451</v>
      </c>
      <c r="H47" s="59" t="n">
        <v>0.1339</v>
      </c>
      <c r="I47" s="59" t="n">
        <v>4.61</v>
      </c>
      <c r="J47" s="59" t="n">
        <v>8.002e-05</v>
      </c>
    </row>
    <row r="48" ht="15.75" customHeight="1">
      <c r="A48" s="56" t="n">
        <v>3500</v>
      </c>
      <c r="B48" s="56" t="inlineStr">
        <is>
          <t>belly_level_up_vertical</t>
        </is>
      </c>
      <c r="C48" s="56" t="n">
        <v>58</v>
      </c>
      <c r="D48" s="57" t="n">
        <v>0.1227</v>
      </c>
      <c r="E48" s="57" t="n">
        <v>0.04535</v>
      </c>
      <c r="F48" s="57" t="n">
        <v>0.1593</v>
      </c>
      <c r="G48" s="57" t="n">
        <v>0.00477089213106912</v>
      </c>
      <c r="H48" s="57" t="n">
        <v>0.2963</v>
      </c>
      <c r="I48" s="57" t="n">
        <v>3.817</v>
      </c>
      <c r="J48" s="57" t="n">
        <v>0.0004361</v>
      </c>
    </row>
    <row r="49" ht="16.5" customHeight="1" thickBot="1">
      <c r="A49" s="8" t="n">
        <v>3500</v>
      </c>
      <c r="B49" s="8" t="inlineStr">
        <is>
          <t>belly_level_up_horizontal</t>
        </is>
      </c>
      <c r="C49" s="8" t="n">
        <v>58</v>
      </c>
      <c r="D49" s="12" t="n">
        <v>0.09955</v>
      </c>
      <c r="E49" s="12" t="n">
        <v>0.03665</v>
      </c>
      <c r="F49" s="12" t="n">
        <v>0.1491</v>
      </c>
      <c r="G49" s="12" t="n">
        <v>0.00251476964769648</v>
      </c>
      <c r="H49" s="12" t="n">
        <v>0.2548</v>
      </c>
      <c r="I49" s="12" t="n">
        <v>3.88</v>
      </c>
      <c r="J49" s="12" t="n">
        <v>0.00013</v>
      </c>
    </row>
    <row r="50" ht="15.75" customHeight="1">
      <c r="A50" s="5" t="n">
        <v>5200</v>
      </c>
      <c r="B50" s="5" t="inlineStr">
        <is>
          <t>belly_level_center_vertical</t>
        </is>
      </c>
      <c r="C50" s="5" t="n">
        <v>64.5</v>
      </c>
      <c r="D50" s="9" t="n">
        <v>0.1023</v>
      </c>
      <c r="E50" s="9" t="n">
        <v>0.04391</v>
      </c>
      <c r="F50" s="9" t="n">
        <v>0.1126</v>
      </c>
      <c r="G50" s="9" t="n">
        <v>0.000830554935416999</v>
      </c>
      <c r="H50" s="9" t="n">
        <v>0.2647</v>
      </c>
      <c r="I50" s="9" t="n">
        <v>3.116</v>
      </c>
      <c r="J50" s="9" t="n">
        <v>3.12e-07</v>
      </c>
    </row>
    <row r="51" ht="15.75" customHeight="1">
      <c r="A51" s="58" t="n">
        <v>5200</v>
      </c>
      <c r="B51" s="58" t="inlineStr">
        <is>
          <t>belly_level_center_horizontal</t>
        </is>
      </c>
      <c r="C51" s="58" t="n">
        <v>64.5</v>
      </c>
      <c r="D51" s="59" t="n">
        <v>0.09124</v>
      </c>
      <c r="E51" s="59" t="n">
        <v>0.01269</v>
      </c>
      <c r="F51" s="59" t="n">
        <v>0.09249</v>
      </c>
      <c r="G51" s="59" t="n">
        <v>0.000268578032839152</v>
      </c>
      <c r="H51" s="59" t="n">
        <v>0.08083</v>
      </c>
      <c r="I51" s="59" t="n">
        <v>2.527</v>
      </c>
      <c r="J51" s="59" t="n">
        <v>2.5e-09</v>
      </c>
    </row>
    <row r="52" ht="15.75" customHeight="1">
      <c r="A52" s="56" t="n">
        <v>5200</v>
      </c>
      <c r="B52" s="56" t="inlineStr">
        <is>
          <t>belly_level_left_vertical</t>
        </is>
      </c>
      <c r="C52" s="56" t="n">
        <v>64.5</v>
      </c>
      <c r="D52" s="57" t="n">
        <v>0.07149999999999999</v>
      </c>
      <c r="E52" s="57" t="n">
        <v>0.04276</v>
      </c>
      <c r="F52" s="57" t="n">
        <v>0.0704</v>
      </c>
      <c r="G52" s="57" t="n">
        <v>0.000892624910351422</v>
      </c>
      <c r="H52" s="57" t="n">
        <v>0.2361</v>
      </c>
      <c r="I52" s="57" t="n">
        <v>4.682</v>
      </c>
      <c r="J52" s="57" t="n">
        <v>2.306e-07</v>
      </c>
    </row>
    <row r="53" ht="15.75" customHeight="1">
      <c r="A53" s="58" t="n">
        <v>5200</v>
      </c>
      <c r="B53" s="58" t="inlineStr">
        <is>
          <t>belly_level_left_horizontal</t>
        </is>
      </c>
      <c r="C53" s="58" t="n">
        <v>64.5</v>
      </c>
      <c r="D53" s="59" t="n">
        <v>0.09376</v>
      </c>
      <c r="E53" s="59" t="n">
        <v>0.01396</v>
      </c>
      <c r="F53" s="59" t="n">
        <v>0.09524000000000001</v>
      </c>
      <c r="G53" s="59" t="n">
        <v>0.00033407634682818</v>
      </c>
      <c r="H53" s="59" t="n">
        <v>0.05579</v>
      </c>
      <c r="I53" s="59" t="n">
        <v>8.272</v>
      </c>
      <c r="J53" s="59" t="n">
        <v>0.001681</v>
      </c>
    </row>
    <row r="54" ht="15.75" customHeight="1">
      <c r="A54" s="56" t="n">
        <v>5200</v>
      </c>
      <c r="B54" s="56" t="inlineStr">
        <is>
          <t>belly_level_right_vertical</t>
        </is>
      </c>
      <c r="C54" s="56" t="n">
        <v>64.5</v>
      </c>
      <c r="D54" s="57" t="n">
        <v>0.1089</v>
      </c>
      <c r="E54" s="57" t="n">
        <v>0.03814</v>
      </c>
      <c r="F54" s="57" t="n">
        <v>0.1268</v>
      </c>
      <c r="G54" s="57" t="n">
        <v>0.000635111961112439</v>
      </c>
      <c r="H54" s="57" t="n">
        <v>0.1743</v>
      </c>
      <c r="I54" s="57" t="n">
        <v>2.845</v>
      </c>
      <c r="J54" s="57" t="n">
        <v>1.693e-08</v>
      </c>
    </row>
    <row r="55" ht="15.75" customHeight="1">
      <c r="A55" s="58" t="n">
        <v>5200</v>
      </c>
      <c r="B55" s="58" t="inlineStr">
        <is>
          <t>belly_level_right_horizontal</t>
        </is>
      </c>
      <c r="C55" s="58" t="n">
        <v>64.5</v>
      </c>
      <c r="D55" s="59" t="n">
        <v>0.07445</v>
      </c>
      <c r="E55" s="59" t="n">
        <v>0.009767</v>
      </c>
      <c r="F55" s="59" t="n">
        <v>0.06797</v>
      </c>
      <c r="G55" s="59" t="n">
        <v>0.000209376045900072</v>
      </c>
      <c r="H55" s="59" t="n">
        <v>0.04493</v>
      </c>
      <c r="I55" s="59" t="n">
        <v>3.565</v>
      </c>
      <c r="J55" s="59" t="n">
        <v>4.21e-09</v>
      </c>
    </row>
    <row r="56" ht="15.75" customHeight="1">
      <c r="A56" s="56" t="n">
        <v>5200</v>
      </c>
      <c r="B56" s="56" t="inlineStr">
        <is>
          <t>belly_level_up_vertical</t>
        </is>
      </c>
      <c r="C56" s="56" t="n">
        <v>64.5</v>
      </c>
      <c r="D56" s="57" t="n">
        <v>0.1012</v>
      </c>
      <c r="E56" s="57" t="n">
        <v>0.06909</v>
      </c>
      <c r="F56" s="57" t="n">
        <v>0.1332</v>
      </c>
      <c r="G56" s="57" t="n">
        <v>0.000973873385424972</v>
      </c>
      <c r="H56" s="57" t="n">
        <v>0.2195</v>
      </c>
      <c r="I56" s="57" t="n">
        <v>2.07</v>
      </c>
      <c r="J56" s="57" t="n">
        <v>6.498e-07</v>
      </c>
    </row>
    <row r="57" ht="16.5" customHeight="1" thickBot="1">
      <c r="A57" s="8" t="n">
        <v>5200</v>
      </c>
      <c r="B57" s="8" t="inlineStr">
        <is>
          <t>belly_level_up_horizontal</t>
        </is>
      </c>
      <c r="C57" s="8" t="n">
        <v>64.5</v>
      </c>
      <c r="D57" s="12" t="n">
        <v>0.09185</v>
      </c>
      <c r="E57" s="12" t="n">
        <v>0.01985</v>
      </c>
      <c r="F57" s="12" t="n">
        <v>0.1374</v>
      </c>
      <c r="G57" s="12" t="n">
        <v>0.000264014825442372</v>
      </c>
      <c r="H57" s="12" t="n">
        <v>0.06113</v>
      </c>
      <c r="I57" s="12" t="n">
        <v>2.971</v>
      </c>
      <c r="J57" s="12" t="n">
        <v>9.029e-07</v>
      </c>
    </row>
    <row r="58" ht="14.25" customHeight="1">
      <c r="A58" s="5" t="n">
        <v>5800</v>
      </c>
      <c r="B58" s="5" t="inlineStr">
        <is>
          <t>belly_level_center_vertical</t>
        </is>
      </c>
      <c r="C58" s="5" t="n">
        <v>64.90000000000001</v>
      </c>
      <c r="D58" s="9" t="n">
        <v>0.0883</v>
      </c>
      <c r="E58" s="9" t="n">
        <v>0.05521</v>
      </c>
      <c r="F58" s="9" t="n">
        <v>0.09966999999999999</v>
      </c>
      <c r="G58" s="9" t="n">
        <v>0.000292724810832338</v>
      </c>
      <c r="H58" s="9" t="n">
        <v>0.2267</v>
      </c>
      <c r="I58" s="9" t="n">
        <v>2.649</v>
      </c>
      <c r="J58" s="9" t="n">
        <v>8.049e-11</v>
      </c>
    </row>
    <row r="59" ht="15.75" customHeight="1">
      <c r="A59" s="58" t="n">
        <v>5800</v>
      </c>
      <c r="B59" s="58" t="inlineStr">
        <is>
          <t>belly_level_center_horizontal</t>
        </is>
      </c>
      <c r="C59" s="58" t="n">
        <v>64.90000000000001</v>
      </c>
      <c r="D59" s="59" t="n">
        <v>0.08613</v>
      </c>
      <c r="E59" s="59" t="n">
        <v>0.02229</v>
      </c>
      <c r="F59" s="59" t="n">
        <v>0.08903999999999999</v>
      </c>
      <c r="G59" s="59" t="n">
        <v>7.44755796350889e-05</v>
      </c>
      <c r="H59" s="59" t="n">
        <v>0.08888</v>
      </c>
      <c r="I59" s="59" t="n">
        <v>2.619</v>
      </c>
      <c r="J59" s="59" t="n">
        <v>1.548e-12</v>
      </c>
    </row>
    <row r="60" ht="15.75" customHeight="1">
      <c r="A60" s="56" t="n">
        <v>5800</v>
      </c>
      <c r="B60" s="56" t="inlineStr">
        <is>
          <t>belly_level_left_vertical</t>
        </is>
      </c>
      <c r="C60" s="56" t="n">
        <v>64.90000000000001</v>
      </c>
      <c r="D60" s="57" t="n">
        <v>0.06587</v>
      </c>
      <c r="E60" s="57" t="n">
        <v>0.03878</v>
      </c>
      <c r="F60" s="57" t="n">
        <v>0.08033</v>
      </c>
      <c r="G60" s="57" t="n">
        <v>0.000193075881837726</v>
      </c>
      <c r="H60" s="57" t="n">
        <v>0.1974</v>
      </c>
      <c r="I60" s="57" t="n">
        <v>2.569</v>
      </c>
      <c r="J60" s="57" t="n">
        <v>4.471e-12</v>
      </c>
    </row>
    <row r="61" ht="15.75" customHeight="1">
      <c r="A61" s="58" t="n">
        <v>5800</v>
      </c>
      <c r="B61" s="58" t="inlineStr">
        <is>
          <t>belly_level_left_horizontal</t>
        </is>
      </c>
      <c r="C61" s="58" t="n">
        <v>64.90000000000001</v>
      </c>
      <c r="D61" s="59" t="n">
        <v>0.08676</v>
      </c>
      <c r="E61" s="59" t="n">
        <v>0.01957</v>
      </c>
      <c r="F61" s="59" t="n">
        <v>0.09095</v>
      </c>
      <c r="G61" s="59" t="n">
        <v>6.342884431709651e-05</v>
      </c>
      <c r="H61" s="59" t="n">
        <v>0.08586000000000001</v>
      </c>
      <c r="I61" s="59" t="n">
        <v>6.816</v>
      </c>
      <c r="J61" s="59" t="n">
        <v>1.559e-11</v>
      </c>
    </row>
    <row r="62" ht="15.75" customHeight="1">
      <c r="A62" s="56" t="n">
        <v>5800</v>
      </c>
      <c r="B62" s="56" t="inlineStr">
        <is>
          <t>belly_level_right_vertical</t>
        </is>
      </c>
      <c r="C62" s="56" t="n">
        <v>64.90000000000001</v>
      </c>
      <c r="D62" s="57" t="n">
        <v>0.1039</v>
      </c>
      <c r="E62" s="57" t="n">
        <v>0.039</v>
      </c>
      <c r="F62" s="57" t="n">
        <v>0.1201</v>
      </c>
      <c r="G62" s="57" t="n">
        <v>0.000247337367624811</v>
      </c>
      <c r="H62" s="57" t="n">
        <v>0.1622</v>
      </c>
      <c r="I62" s="57" t="n">
        <v>2.731</v>
      </c>
      <c r="J62" s="57" t="n">
        <v>6.275e-11</v>
      </c>
    </row>
    <row r="63" ht="15.75" customHeight="1">
      <c r="A63" s="58" t="n">
        <v>5800</v>
      </c>
      <c r="B63" s="58" t="inlineStr">
        <is>
          <t>belly_level_right_horizontal</t>
        </is>
      </c>
      <c r="C63" s="58" t="n">
        <v>64.90000000000001</v>
      </c>
      <c r="D63" s="59" t="n">
        <v>0.07276000000000001</v>
      </c>
      <c r="E63" s="59" t="n">
        <v>0.02124</v>
      </c>
      <c r="F63" s="59" t="n">
        <v>0.06907000000000001</v>
      </c>
      <c r="G63" s="59" t="n">
        <v>6.668158292857711e-05</v>
      </c>
      <c r="H63" s="59" t="n">
        <v>0.07820000000000001</v>
      </c>
      <c r="I63" s="59" t="n">
        <v>2.568</v>
      </c>
      <c r="J63" s="59" t="n">
        <v>1.055e-12</v>
      </c>
    </row>
    <row r="64" ht="15.75" customHeight="1">
      <c r="A64" s="56" t="n">
        <v>5800</v>
      </c>
      <c r="B64" s="56" t="inlineStr">
        <is>
          <t>belly_level_up_vertical</t>
        </is>
      </c>
      <c r="C64" s="56" t="n">
        <v>64.90000000000001</v>
      </c>
      <c r="D64" s="57" t="n">
        <v>0.09266000000000001</v>
      </c>
      <c r="E64" s="57" t="n">
        <v>0.08248999999999999</v>
      </c>
      <c r="F64" s="57" t="n">
        <v>0.1291</v>
      </c>
      <c r="G64" s="57" t="n">
        <v>0.00049773556352051</v>
      </c>
      <c r="H64" s="57" t="n">
        <v>0.2622</v>
      </c>
      <c r="I64" s="57" t="n">
        <v>3.107</v>
      </c>
      <c r="J64" s="57" t="n">
        <v>5.296e-09</v>
      </c>
    </row>
    <row r="65" ht="16.5" customHeight="1" thickBot="1">
      <c r="A65" s="8" t="n">
        <v>5800</v>
      </c>
      <c r="B65" s="8" t="inlineStr">
        <is>
          <t>belly_level_up_horizontal</t>
        </is>
      </c>
      <c r="C65" s="8" t="n">
        <v>64.90000000000001</v>
      </c>
      <c r="D65" s="12" t="n">
        <v>0.09082</v>
      </c>
      <c r="E65" s="12" t="n">
        <v>0.0364</v>
      </c>
      <c r="F65" s="12" t="n">
        <v>0.1366</v>
      </c>
      <c r="G65" s="12" t="n">
        <v>0.000279756991474783</v>
      </c>
      <c r="H65" s="12" t="n">
        <v>0.1632</v>
      </c>
      <c r="I65" s="12" t="n">
        <v>3.127</v>
      </c>
      <c r="J65" s="12" t="n">
        <v>4.73e-08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"/>
  <sheetViews>
    <sheetView zoomScale="75" zoomScaleNormal="248" workbookViewId="0">
      <selection activeCell="P35" sqref="P35"/>
    </sheetView>
  </sheetViews>
  <sheetFormatPr baseColWidth="10" defaultColWidth="8.6640625" defaultRowHeight="15"/>
  <cols>
    <col width="12.5" bestFit="1" customWidth="1" min="1" max="1"/>
    <col width="23" bestFit="1" customWidth="1" min="2" max="2"/>
    <col width="13.1640625" bestFit="1" customWidth="1" min="3" max="3"/>
    <col width="20" bestFit="1" customWidth="1" min="4" max="4"/>
    <col width="15.1640625" bestFit="1" customWidth="1" min="5" max="5"/>
    <col width="15.33203125" bestFit="1" customWidth="1" min="6" max="6"/>
    <col width="21" bestFit="1" customWidth="1" min="7" max="7"/>
    <col width="20" bestFit="1" customWidth="1" min="8" max="8"/>
    <col width="19.33203125" bestFit="1" customWidth="1" min="9" max="9"/>
    <col width="20" bestFit="1" customWidth="1" min="10" max="10"/>
  </cols>
  <sheetData>
    <row r="1" ht="16.5" customHeight="1">
      <c r="A1" s="3" t="inlineStr">
        <is>
          <t>frequency_MHz</t>
        </is>
      </c>
      <c r="B1" s="3" t="inlineStr">
        <is>
          <t>placement</t>
        </is>
      </c>
      <c r="C1" s="4" t="inlineStr">
        <is>
          <t>Input Power  (W)</t>
        </is>
      </c>
      <c r="D1" s="4" t="inlineStr">
        <is>
          <t>SAR_wholebody (mW/kg)</t>
        </is>
      </c>
      <c r="E1" s="4" t="inlineStr">
        <is>
          <t>SAR_head (mW/kg)</t>
        </is>
      </c>
      <c r="F1" s="4" t="inlineStr">
        <is>
          <t>SAR_trunk (mW/kg)</t>
        </is>
      </c>
      <c r="G1" s="4" t="inlineStr">
        <is>
          <t>SAR averagedbrain(mW/kg)</t>
        </is>
      </c>
      <c r="H1" s="4" t="inlineStr">
        <is>
          <t>psSAR10g_eyes  (mW/kg)</t>
        </is>
      </c>
      <c r="I1" s="4" t="inlineStr">
        <is>
          <t>psSAR10g_skin (mW/kg)</t>
        </is>
      </c>
      <c r="J1" s="4" t="inlineStr">
        <is>
          <t>psSAR10g_brain (mW/kg)</t>
        </is>
      </c>
    </row>
    <row r="2" ht="14.25" customHeight="1">
      <c r="A2" s="5" t="n">
        <v>700</v>
      </c>
      <c r="B2" s="5" t="inlineStr">
        <is>
          <t>belly_level_center_vertical</t>
        </is>
      </c>
      <c r="C2" s="5" t="n">
        <v>1</v>
      </c>
      <c r="D2" s="9">
        <f>Ella_belly!D2*10^3/Ella_belly!C2</f>
        <v/>
      </c>
      <c r="E2" s="9">
        <f>Ella_belly!E2*10^3/Ella_belly!C2</f>
        <v/>
      </c>
      <c r="F2" s="9">
        <f>Ella_belly!F2*10^3/Ella_belly!C2</f>
        <v/>
      </c>
      <c r="G2" s="9">
        <f>Ella_belly!G2*10^3/Ella_belly!C2</f>
        <v/>
      </c>
      <c r="H2" s="9">
        <f>Ella_belly!H2*10^3/Ella_belly!C2</f>
        <v/>
      </c>
      <c r="I2" s="9">
        <f>Ella_belly!I2*10^3/Ella_belly!C2</f>
        <v/>
      </c>
      <c r="J2" s="9">
        <f>Ella_belly!J2*10^3/Ella_belly!C2</f>
        <v/>
      </c>
    </row>
    <row r="3" ht="15.75" customHeight="1">
      <c r="A3" s="58" t="n">
        <v>700</v>
      </c>
      <c r="B3" s="58" t="inlineStr">
        <is>
          <t>belly_level_center_horizontal</t>
        </is>
      </c>
      <c r="C3" s="58" t="n">
        <v>1</v>
      </c>
      <c r="D3" s="59">
        <f>Ella_belly!D3*10^3/Ella_belly!C3</f>
        <v/>
      </c>
      <c r="E3" s="59">
        <f>Ella_belly!E3*10^3/Ella_belly!C3</f>
        <v/>
      </c>
      <c r="F3" s="59">
        <f>Ella_belly!F3*10^3/Ella_belly!C3</f>
        <v/>
      </c>
      <c r="G3" s="59">
        <f>Ella_belly!G3*10^3/Ella_belly!C3</f>
        <v/>
      </c>
      <c r="H3" s="59">
        <f>Ella_belly!H3*10^3/Ella_belly!C3</f>
        <v/>
      </c>
      <c r="I3" s="59">
        <f>Ella_belly!I3*10^3/Ella_belly!C3</f>
        <v/>
      </c>
      <c r="J3" s="59">
        <f>Ella_belly!J3*10^3/Ella_belly!C3</f>
        <v/>
      </c>
    </row>
    <row r="4" ht="15.75" customHeight="1">
      <c r="A4" s="56" t="n">
        <v>700</v>
      </c>
      <c r="B4" s="56" t="inlineStr">
        <is>
          <t>belly_level_left_vertical</t>
        </is>
      </c>
      <c r="C4" s="56" t="n">
        <v>1</v>
      </c>
      <c r="D4" s="57">
        <f>Ella_belly!D4*10^3/Ella_belly!C4</f>
        <v/>
      </c>
      <c r="E4" s="57">
        <f>Ella_belly!E4*10^3/Ella_belly!C4</f>
        <v/>
      </c>
      <c r="F4" s="57">
        <f>Ella_belly!F4*10^3/Ella_belly!C4</f>
        <v/>
      </c>
      <c r="G4" s="57">
        <f>Ella_belly!G4*10^3/Ella_belly!C4</f>
        <v/>
      </c>
      <c r="H4" s="57">
        <f>Ella_belly!H4*10^3/Ella_belly!C4</f>
        <v/>
      </c>
      <c r="I4" s="57">
        <f>Ella_belly!I4*10^3/Ella_belly!C4</f>
        <v/>
      </c>
      <c r="J4" s="57">
        <f>Ella_belly!J4*10^3/Ella_belly!C4</f>
        <v/>
      </c>
    </row>
    <row r="5" ht="15.75" customHeight="1">
      <c r="A5" s="58" t="n">
        <v>700</v>
      </c>
      <c r="B5" s="58" t="inlineStr">
        <is>
          <t>belly_level_left_horizontal</t>
        </is>
      </c>
      <c r="C5" s="58" t="n">
        <v>1</v>
      </c>
      <c r="D5" s="59">
        <f>Ella_belly!D5*10^3/Ella_belly!C5</f>
        <v/>
      </c>
      <c r="E5" s="59">
        <f>Ella_belly!E5*10^3/Ella_belly!C5</f>
        <v/>
      </c>
      <c r="F5" s="59">
        <f>Ella_belly!F5*10^3/Ella_belly!C5</f>
        <v/>
      </c>
      <c r="G5" s="59">
        <f>Ella_belly!G5*10^3/Ella_belly!C5</f>
        <v/>
      </c>
      <c r="H5" s="59">
        <f>Ella_belly!H5*10^3/Ella_belly!C5</f>
        <v/>
      </c>
      <c r="I5" s="59">
        <f>Ella_belly!I5*10^3/Ella_belly!C5</f>
        <v/>
      </c>
      <c r="J5" s="59">
        <f>Ella_belly!J5*10^3/Ella_belly!C5</f>
        <v/>
      </c>
    </row>
    <row r="6" ht="15.75" customHeight="1">
      <c r="A6" s="56" t="n">
        <v>700</v>
      </c>
      <c r="B6" s="56" t="inlineStr">
        <is>
          <t>belly_level_right_vertical</t>
        </is>
      </c>
      <c r="C6" s="56" t="n">
        <v>1</v>
      </c>
      <c r="D6" s="57">
        <f>Ella_belly!D6*10^3/Ella_belly!C6</f>
        <v/>
      </c>
      <c r="E6" s="57">
        <f>Ella_belly!E6*10^3/Ella_belly!C6</f>
        <v/>
      </c>
      <c r="F6" s="57">
        <f>Ella_belly!F6*10^3/Ella_belly!C6</f>
        <v/>
      </c>
      <c r="G6" s="57">
        <f>Ella_belly!G6*10^3/Ella_belly!C6</f>
        <v/>
      </c>
      <c r="H6" s="57">
        <f>Ella_belly!H6*10^3/Ella_belly!C6</f>
        <v/>
      </c>
      <c r="I6" s="57">
        <f>Ella_belly!I6*10^3/Ella_belly!C6</f>
        <v/>
      </c>
      <c r="J6" s="57">
        <f>Ella_belly!J6*10^3/Ella_belly!C6</f>
        <v/>
      </c>
    </row>
    <row r="7" ht="15.75" customHeight="1">
      <c r="A7" s="58" t="n">
        <v>700</v>
      </c>
      <c r="B7" s="58" t="inlineStr">
        <is>
          <t>belly_level_right_horizontal</t>
        </is>
      </c>
      <c r="C7" s="58" t="n">
        <v>1</v>
      </c>
      <c r="D7" s="59">
        <f>Ella_belly!D7*10^3/Ella_belly!C7</f>
        <v/>
      </c>
      <c r="E7" s="59">
        <f>Ella_belly!E7*10^3/Ella_belly!C7</f>
        <v/>
      </c>
      <c r="F7" s="59">
        <f>Ella_belly!F7*10^3/Ella_belly!C7</f>
        <v/>
      </c>
      <c r="G7" s="59">
        <f>Ella_belly!G7*10^3/Ella_belly!C7</f>
        <v/>
      </c>
      <c r="H7" s="59">
        <f>Ella_belly!H7*10^3/Ella_belly!C7</f>
        <v/>
      </c>
      <c r="I7" s="59">
        <f>Ella_belly!I7*10^3/Ella_belly!C7</f>
        <v/>
      </c>
      <c r="J7" s="59">
        <f>Ella_belly!J7*10^3/Ella_belly!C7</f>
        <v/>
      </c>
    </row>
    <row r="8" ht="15.75" customHeight="1">
      <c r="A8" s="56" t="n">
        <v>700</v>
      </c>
      <c r="B8" s="56" t="inlineStr">
        <is>
          <t>belly_level_up_vertical</t>
        </is>
      </c>
      <c r="C8" s="56" t="n">
        <v>1</v>
      </c>
      <c r="D8" s="57">
        <f>Ella_belly!D8*10^3/Ella_belly!C8</f>
        <v/>
      </c>
      <c r="E8" s="57">
        <f>Ella_belly!E8*10^3/Ella_belly!C8</f>
        <v/>
      </c>
      <c r="F8" s="57">
        <f>Ella_belly!F8*10^3/Ella_belly!C8</f>
        <v/>
      </c>
      <c r="G8" s="57">
        <f>Ella_belly!G8*10^3/Ella_belly!C8</f>
        <v/>
      </c>
      <c r="H8" s="57">
        <f>Ella_belly!H8*10^3/Ella_belly!C8</f>
        <v/>
      </c>
      <c r="I8" s="57">
        <f>Ella_belly!I8*10^3/Ella_belly!C8</f>
        <v/>
      </c>
      <c r="J8" s="57">
        <f>Ella_belly!J8*10^3/Ella_belly!C8</f>
        <v/>
      </c>
    </row>
    <row r="9" ht="16.5" customHeight="1">
      <c r="A9" s="8" t="n">
        <v>700</v>
      </c>
      <c r="B9" s="8" t="inlineStr">
        <is>
          <t>belly_level_up_horizontal</t>
        </is>
      </c>
      <c r="C9" s="8" t="n">
        <v>1</v>
      </c>
      <c r="D9" s="12">
        <f>Ella_belly!D9*10^3/Ella_belly!C9</f>
        <v/>
      </c>
      <c r="E9" s="12">
        <f>Ella_belly!E9*10^3/Ella_belly!C9</f>
        <v/>
      </c>
      <c r="F9" s="12">
        <f>Ella_belly!F9*10^3/Ella_belly!C9</f>
        <v/>
      </c>
      <c r="G9" s="12">
        <f>Ella_belly!G9*10^3/Ella_belly!C9</f>
        <v/>
      </c>
      <c r="H9" s="12">
        <f>Ella_belly!H9*10^3/Ella_belly!C9</f>
        <v/>
      </c>
      <c r="I9" s="12">
        <f>Ella_belly!I9*10^3/Ella_belly!C9</f>
        <v/>
      </c>
      <c r="J9" s="12">
        <f>Ella_belly!J9*10^3/Ella_belly!C9</f>
        <v/>
      </c>
    </row>
    <row r="10" ht="15.75" customHeight="1">
      <c r="A10" s="5" t="n">
        <v>835</v>
      </c>
      <c r="B10" s="5" t="inlineStr">
        <is>
          <t>belly_level_center_vertical</t>
        </is>
      </c>
      <c r="C10" s="5" t="n">
        <v>1</v>
      </c>
      <c r="D10" s="9">
        <f>Ella_belly!D10*10^3/Ella_belly!C10</f>
        <v/>
      </c>
      <c r="E10" s="9">
        <f>Ella_belly!E10*10^3/Ella_belly!C10</f>
        <v/>
      </c>
      <c r="F10" s="9">
        <f>Ella_belly!F10*10^3/Ella_belly!C10</f>
        <v/>
      </c>
      <c r="G10" s="9">
        <f>Ella_belly!G10*10^3/Ella_belly!C10</f>
        <v/>
      </c>
      <c r="H10" s="9">
        <f>Ella_belly!H10*10^3/Ella_belly!C10</f>
        <v/>
      </c>
      <c r="I10" s="9">
        <f>Ella_belly!I10*10^3/Ella_belly!C10</f>
        <v/>
      </c>
      <c r="J10" s="9">
        <f>Ella_belly!J10*10^3/Ella_belly!C10</f>
        <v/>
      </c>
    </row>
    <row r="11" ht="15.75" customHeight="1">
      <c r="A11" s="58" t="n">
        <v>835</v>
      </c>
      <c r="B11" s="58" t="inlineStr">
        <is>
          <t>belly_level_center_horizontal</t>
        </is>
      </c>
      <c r="C11" s="58" t="n">
        <v>1</v>
      </c>
      <c r="D11" s="59">
        <f>Ella_belly!D11*10^3/Ella_belly!C11</f>
        <v/>
      </c>
      <c r="E11" s="59">
        <f>Ella_belly!E11*10^3/Ella_belly!C11</f>
        <v/>
      </c>
      <c r="F11" s="59">
        <f>Ella_belly!F11*10^3/Ella_belly!C11</f>
        <v/>
      </c>
      <c r="G11" s="59">
        <f>Ella_belly!G11*10^3/Ella_belly!C11</f>
        <v/>
      </c>
      <c r="H11" s="59">
        <f>Ella_belly!H11*10^3/Ella_belly!C11</f>
        <v/>
      </c>
      <c r="I11" s="59">
        <f>Ella_belly!I11*10^3/Ella_belly!C11</f>
        <v/>
      </c>
      <c r="J11" s="59">
        <f>Ella_belly!J11*10^3/Ella_belly!C11</f>
        <v/>
      </c>
    </row>
    <row r="12" ht="15.75" customHeight="1">
      <c r="A12" s="56" t="n">
        <v>835</v>
      </c>
      <c r="B12" s="56" t="inlineStr">
        <is>
          <t>belly_level_left_vertical</t>
        </is>
      </c>
      <c r="C12" s="56" t="n">
        <v>1</v>
      </c>
      <c r="D12" s="57">
        <f>Ella_belly!D12*10^3/Ella_belly!C12</f>
        <v/>
      </c>
      <c r="E12" s="57">
        <f>Ella_belly!E12*10^3/Ella_belly!C12</f>
        <v/>
      </c>
      <c r="F12" s="57">
        <f>Ella_belly!F12*10^3/Ella_belly!C12</f>
        <v/>
      </c>
      <c r="G12" s="57">
        <f>Ella_belly!G12*10^3/Ella_belly!C12</f>
        <v/>
      </c>
      <c r="H12" s="57">
        <f>Ella_belly!H12*10^3/Ella_belly!C12</f>
        <v/>
      </c>
      <c r="I12" s="57">
        <f>Ella_belly!I12*10^3/Ella_belly!C12</f>
        <v/>
      </c>
      <c r="J12" s="57">
        <f>Ella_belly!J12*10^3/Ella_belly!C12</f>
        <v/>
      </c>
    </row>
    <row r="13" ht="15.75" customHeight="1">
      <c r="A13" s="58" t="n">
        <v>835</v>
      </c>
      <c r="B13" s="58" t="inlineStr">
        <is>
          <t>belly_level_left_horizontal</t>
        </is>
      </c>
      <c r="C13" s="58" t="n">
        <v>1</v>
      </c>
      <c r="D13" s="59">
        <f>Ella_belly!D13*10^3/Ella_belly!C13</f>
        <v/>
      </c>
      <c r="E13" s="59">
        <f>Ella_belly!E13*10^3/Ella_belly!C13</f>
        <v/>
      </c>
      <c r="F13" s="59">
        <f>Ella_belly!F13*10^3/Ella_belly!C13</f>
        <v/>
      </c>
      <c r="G13" s="59">
        <f>Ella_belly!G13*10^3/Ella_belly!C13</f>
        <v/>
      </c>
      <c r="H13" s="59">
        <f>Ella_belly!H13*10^3/Ella_belly!C13</f>
        <v/>
      </c>
      <c r="I13" s="59">
        <f>Ella_belly!I13*10^3/Ella_belly!C13</f>
        <v/>
      </c>
      <c r="J13" s="59">
        <f>Ella_belly!J13*10^3/Ella_belly!C13</f>
        <v/>
      </c>
    </row>
    <row r="14" ht="15.75" customHeight="1">
      <c r="A14" s="56" t="n">
        <v>835</v>
      </c>
      <c r="B14" s="56" t="inlineStr">
        <is>
          <t>belly_level_right_vertical</t>
        </is>
      </c>
      <c r="C14" s="56" t="n">
        <v>1</v>
      </c>
      <c r="D14" s="57">
        <f>Ella_belly!D14*10^3/Ella_belly!C14</f>
        <v/>
      </c>
      <c r="E14" s="57">
        <f>Ella_belly!E14*10^3/Ella_belly!C14</f>
        <v/>
      </c>
      <c r="F14" s="57">
        <f>Ella_belly!F14*10^3/Ella_belly!C14</f>
        <v/>
      </c>
      <c r="G14" s="57">
        <f>Ella_belly!G14*10^3/Ella_belly!C14</f>
        <v/>
      </c>
      <c r="H14" s="57">
        <f>Ella_belly!H14*10^3/Ella_belly!C14</f>
        <v/>
      </c>
      <c r="I14" s="57">
        <f>Ella_belly!I14*10^3/Ella_belly!C14</f>
        <v/>
      </c>
      <c r="J14" s="57">
        <f>Ella_belly!J14*10^3/Ella_belly!C14</f>
        <v/>
      </c>
    </row>
    <row r="15" ht="15.75" customHeight="1">
      <c r="A15" s="58" t="n">
        <v>835</v>
      </c>
      <c r="B15" s="58" t="inlineStr">
        <is>
          <t>belly_level_right_horizontal</t>
        </is>
      </c>
      <c r="C15" s="58" t="n">
        <v>1</v>
      </c>
      <c r="D15" s="59">
        <f>Ella_belly!D15*10^3/Ella_belly!C15</f>
        <v/>
      </c>
      <c r="E15" s="59">
        <f>Ella_belly!E15*10^3/Ella_belly!C15</f>
        <v/>
      </c>
      <c r="F15" s="59">
        <f>Ella_belly!F15*10^3/Ella_belly!C15</f>
        <v/>
      </c>
      <c r="G15" s="59">
        <f>Ella_belly!G15*10^3/Ella_belly!C15</f>
        <v/>
      </c>
      <c r="H15" s="59">
        <f>Ella_belly!H15*10^3/Ella_belly!C15</f>
        <v/>
      </c>
      <c r="I15" s="59">
        <f>Ella_belly!I15*10^3/Ella_belly!C15</f>
        <v/>
      </c>
      <c r="J15" s="59">
        <f>Ella_belly!J15*10^3/Ella_belly!C15</f>
        <v/>
      </c>
    </row>
    <row r="16" ht="15.75" customHeight="1">
      <c r="A16" s="56" t="n">
        <v>835</v>
      </c>
      <c r="B16" s="56" t="inlineStr">
        <is>
          <t>belly_level_up_vertical</t>
        </is>
      </c>
      <c r="C16" s="56" t="n">
        <v>1</v>
      </c>
      <c r="D16" s="57">
        <f>Ella_belly!D16*10^3/Ella_belly!C16</f>
        <v/>
      </c>
      <c r="E16" s="57">
        <f>Ella_belly!E16*10^3/Ella_belly!C16</f>
        <v/>
      </c>
      <c r="F16" s="57">
        <f>Ella_belly!F16*10^3/Ella_belly!C16</f>
        <v/>
      </c>
      <c r="G16" s="57">
        <f>Ella_belly!G16*10^3/Ella_belly!C16</f>
        <v/>
      </c>
      <c r="H16" s="57">
        <f>Ella_belly!H16*10^3/Ella_belly!C16</f>
        <v/>
      </c>
      <c r="I16" s="57">
        <f>Ella_belly!I16*10^3/Ella_belly!C16</f>
        <v/>
      </c>
      <c r="J16" s="57">
        <f>Ella_belly!J16*10^3/Ella_belly!C16</f>
        <v/>
      </c>
    </row>
    <row r="17" ht="16.5" customHeight="1">
      <c r="A17" s="8" t="n">
        <v>835</v>
      </c>
      <c r="B17" s="8" t="inlineStr">
        <is>
          <t>belly_level_up_horizontal</t>
        </is>
      </c>
      <c r="C17" s="8" t="n">
        <v>1</v>
      </c>
      <c r="D17" s="12">
        <f>Ella_belly!D17*10^3/Ella_belly!C17</f>
        <v/>
      </c>
      <c r="E17" s="12">
        <f>Ella_belly!E17*10^3/Ella_belly!C17</f>
        <v/>
      </c>
      <c r="F17" s="12">
        <f>Ella_belly!F17*10^3/Ella_belly!C17</f>
        <v/>
      </c>
      <c r="G17" s="12">
        <f>Ella_belly!G17*10^3/Ella_belly!C17</f>
        <v/>
      </c>
      <c r="H17" s="12">
        <f>Ella_belly!H17*10^3/Ella_belly!C17</f>
        <v/>
      </c>
      <c r="I17" s="12">
        <f>Ella_belly!I17*10^3/Ella_belly!C17</f>
        <v/>
      </c>
      <c r="J17" s="12">
        <f>Ella_belly!J17*10^3/Ella_belly!C17</f>
        <v/>
      </c>
    </row>
    <row r="18" ht="15.75" customHeight="1">
      <c r="A18" s="5" t="n">
        <v>1450</v>
      </c>
      <c r="B18" s="5" t="inlineStr">
        <is>
          <t>belly_level_center_vertical</t>
        </is>
      </c>
      <c r="C18" s="5" t="n">
        <v>1</v>
      </c>
      <c r="D18" s="9">
        <f>Ella_belly!D18*10^3/Ella_belly!C18</f>
        <v/>
      </c>
      <c r="E18" s="57">
        <f>Ella_belly!E18*10^3/Ella_belly!C18</f>
        <v/>
      </c>
      <c r="F18" s="57">
        <f>Ella_belly!F18*10^3/Ella_belly!C18</f>
        <v/>
      </c>
      <c r="G18" s="57">
        <f>Ella_belly!G18*10^3/Ella_belly!C18</f>
        <v/>
      </c>
      <c r="H18" s="57">
        <f>Ella_belly!H18*10^3/Ella_belly!C18</f>
        <v/>
      </c>
      <c r="I18" s="57">
        <f>Ella_belly!I18*10^3/Ella_belly!C18</f>
        <v/>
      </c>
      <c r="J18" s="57">
        <f>Ella_belly!J18*10^3/Ella_belly!C18</f>
        <v/>
      </c>
    </row>
    <row r="19" ht="15.75" customHeight="1">
      <c r="A19" s="58" t="n">
        <v>1450</v>
      </c>
      <c r="B19" s="58" t="inlineStr">
        <is>
          <t>belly_level_center_horizontal</t>
        </is>
      </c>
      <c r="C19" s="58" t="n">
        <v>1</v>
      </c>
      <c r="D19" s="59">
        <f>Ella_belly!D19*10^3/Ella_belly!C19</f>
        <v/>
      </c>
      <c r="E19" s="59">
        <f>Ella_belly!E19*10^3/Ella_belly!C19</f>
        <v/>
      </c>
      <c r="F19" s="59">
        <f>Ella_belly!F19*10^3/Ella_belly!C19</f>
        <v/>
      </c>
      <c r="G19" s="59">
        <f>Ella_belly!G19*10^3/Ella_belly!C19</f>
        <v/>
      </c>
      <c r="H19" s="59">
        <f>Ella_belly!H19*10^3/Ella_belly!C19</f>
        <v/>
      </c>
      <c r="I19" s="59">
        <f>Ella_belly!I19*10^3/Ella_belly!C19</f>
        <v/>
      </c>
      <c r="J19" s="59">
        <f>Ella_belly!J19*10^3/Ella_belly!C19</f>
        <v/>
      </c>
    </row>
    <row r="20" ht="15.75" customHeight="1">
      <c r="A20" s="56" t="n">
        <v>1450</v>
      </c>
      <c r="B20" s="56" t="inlineStr">
        <is>
          <t>belly_level_left_vertical</t>
        </is>
      </c>
      <c r="C20" s="56" t="n">
        <v>1</v>
      </c>
      <c r="D20" s="57">
        <f>Ella_belly!D20*10^3/Ella_belly!C20</f>
        <v/>
      </c>
      <c r="E20" s="57">
        <f>Ella_belly!E20*10^3/Ella_belly!C20</f>
        <v/>
      </c>
      <c r="F20" s="57">
        <f>Ella_belly!F20*10^3/Ella_belly!C20</f>
        <v/>
      </c>
      <c r="G20" s="57">
        <f>Ella_belly!G20*10^3/Ella_belly!C20</f>
        <v/>
      </c>
      <c r="H20" s="57">
        <f>Ella_belly!H20*10^3/Ella_belly!C20</f>
        <v/>
      </c>
      <c r="I20" s="57">
        <f>Ella_belly!I20*10^3/Ella_belly!C20</f>
        <v/>
      </c>
      <c r="J20" s="57">
        <f>Ella_belly!J20*10^3/Ella_belly!C20</f>
        <v/>
      </c>
    </row>
    <row r="21" ht="15.75" customHeight="1">
      <c r="A21" s="58" t="n">
        <v>1450</v>
      </c>
      <c r="B21" s="58" t="inlineStr">
        <is>
          <t>belly_level_left_horizontal</t>
        </is>
      </c>
      <c r="C21" s="58" t="n">
        <v>1</v>
      </c>
      <c r="D21" s="59">
        <f>Ella_belly!D21*10^3/Ella_belly!C21</f>
        <v/>
      </c>
      <c r="E21" s="59">
        <f>Ella_belly!E21*10^3/Ella_belly!C21</f>
        <v/>
      </c>
      <c r="F21" s="59">
        <f>Ella_belly!F21*10^3/Ella_belly!C21</f>
        <v/>
      </c>
      <c r="G21" s="59">
        <f>Ella_belly!G21*10^3/Ella_belly!C21</f>
        <v/>
      </c>
      <c r="H21" s="59">
        <f>Ella_belly!H21*10^3/Ella_belly!C21</f>
        <v/>
      </c>
      <c r="I21" s="59">
        <f>Ella_belly!I21*10^3/Ella_belly!C21</f>
        <v/>
      </c>
      <c r="J21" s="59">
        <f>Ella_belly!J21*10^3/Ella_belly!C21</f>
        <v/>
      </c>
    </row>
    <row r="22" ht="15.75" customHeight="1">
      <c r="A22" s="56" t="n">
        <v>1450</v>
      </c>
      <c r="B22" s="56" t="inlineStr">
        <is>
          <t>belly_level_right_vertical</t>
        </is>
      </c>
      <c r="C22" s="56" t="n">
        <v>1</v>
      </c>
      <c r="D22" s="57">
        <f>Ella_belly!D22*10^3/Ella_belly!C22</f>
        <v/>
      </c>
      <c r="E22" s="57">
        <f>Ella_belly!E22*10^3/Ella_belly!C22</f>
        <v/>
      </c>
      <c r="F22" s="57">
        <f>Ella_belly!F22*10^3/Ella_belly!C22</f>
        <v/>
      </c>
      <c r="G22" s="57">
        <f>Ella_belly!G22*10^3/Ella_belly!C22</f>
        <v/>
      </c>
      <c r="H22" s="57">
        <f>Ella_belly!H22*10^3/Ella_belly!C22</f>
        <v/>
      </c>
      <c r="I22" s="57">
        <f>Ella_belly!I22*10^3/Ella_belly!C22</f>
        <v/>
      </c>
      <c r="J22" s="57">
        <f>Ella_belly!J22*10^3/Ella_belly!C22</f>
        <v/>
      </c>
    </row>
    <row r="23" ht="15.75" customHeight="1">
      <c r="A23" s="58" t="n">
        <v>1450</v>
      </c>
      <c r="B23" s="58" t="inlineStr">
        <is>
          <t>belly_level_right_horizontal</t>
        </is>
      </c>
      <c r="C23" s="58" t="n">
        <v>1</v>
      </c>
      <c r="D23" s="59">
        <f>Ella_belly!D23*10^3/Ella_belly!C23</f>
        <v/>
      </c>
      <c r="E23" s="59">
        <f>Ella_belly!E23*10^3/Ella_belly!C23</f>
        <v/>
      </c>
      <c r="F23" s="59">
        <f>Ella_belly!F23*10^3/Ella_belly!C23</f>
        <v/>
      </c>
      <c r="G23" s="59">
        <f>Ella_belly!G23*10^3/Ella_belly!C23</f>
        <v/>
      </c>
      <c r="H23" s="59">
        <f>Ella_belly!H23*10^3/Ella_belly!C23</f>
        <v/>
      </c>
      <c r="I23" s="59">
        <f>Ella_belly!I23*10^3/Ella_belly!C23</f>
        <v/>
      </c>
      <c r="J23" s="59">
        <f>Ella_belly!J23*10^3/Ella_belly!C23</f>
        <v/>
      </c>
    </row>
    <row r="24" ht="15.75" customHeight="1">
      <c r="A24" s="56" t="n">
        <v>1450</v>
      </c>
      <c r="B24" s="56" t="inlineStr">
        <is>
          <t>belly_level_up_vertical</t>
        </is>
      </c>
      <c r="C24" s="56" t="n">
        <v>1</v>
      </c>
      <c r="D24" s="57">
        <f>Ella_belly!D24*10^3/Ella_belly!C24</f>
        <v/>
      </c>
      <c r="E24" s="57">
        <f>Ella_belly!E24*10^3/Ella_belly!C24</f>
        <v/>
      </c>
      <c r="F24" s="57">
        <f>Ella_belly!F24*10^3/Ella_belly!C24</f>
        <v/>
      </c>
      <c r="G24" s="57">
        <f>Ella_belly!G24*10^3/Ella_belly!C24</f>
        <v/>
      </c>
      <c r="H24" s="57">
        <f>Ella_belly!H24*10^3/Ella_belly!C24</f>
        <v/>
      </c>
      <c r="I24" s="57">
        <f>Ella_belly!I24*10^3/Ella_belly!C24</f>
        <v/>
      </c>
      <c r="J24" s="57">
        <f>Ella_belly!J24*10^3/Ella_belly!C24</f>
        <v/>
      </c>
    </row>
    <row r="25" ht="16.5" customHeight="1">
      <c r="A25" s="8" t="n">
        <v>1450</v>
      </c>
      <c r="B25" s="8" t="inlineStr">
        <is>
          <t>belly_level_up_horizontal</t>
        </is>
      </c>
      <c r="C25" s="8" t="n">
        <v>1</v>
      </c>
      <c r="D25" s="12">
        <f>Ella_belly!D25*10^3/Ella_belly!C25</f>
        <v/>
      </c>
      <c r="E25" s="12">
        <f>Ella_belly!E25*10^3/Ella_belly!C25</f>
        <v/>
      </c>
      <c r="F25" s="12">
        <f>Ella_belly!F25*10^3/Ella_belly!C25</f>
        <v/>
      </c>
      <c r="G25" s="12">
        <f>Ella_belly!G25*10^3/Ella_belly!C25</f>
        <v/>
      </c>
      <c r="H25" s="12">
        <f>Ella_belly!H25*10^3/Ella_belly!C25</f>
        <v/>
      </c>
      <c r="I25" s="12">
        <f>Ella_belly!I25*10^3/Ella_belly!C25</f>
        <v/>
      </c>
      <c r="J25" s="12">
        <f>Ella_belly!J25*10^3/Ella_belly!C25</f>
        <v/>
      </c>
    </row>
    <row r="26" ht="15.75" customHeight="1">
      <c r="A26" s="5" t="n">
        <v>2140</v>
      </c>
      <c r="B26" s="5" t="inlineStr">
        <is>
          <t>belly_level_center_vertical</t>
        </is>
      </c>
      <c r="C26" s="5" t="n">
        <v>1</v>
      </c>
      <c r="D26" s="9">
        <f>Ella_belly!D26*10^3/Ella_belly!C26</f>
        <v/>
      </c>
      <c r="E26" s="57">
        <f>Ella_belly!E26*10^3/Ella_belly!C26</f>
        <v/>
      </c>
      <c r="F26" s="57">
        <f>Ella_belly!F26*10^3/Ella_belly!C26</f>
        <v/>
      </c>
      <c r="G26" s="57">
        <f>Ella_belly!G26*10^3/Ella_belly!C26</f>
        <v/>
      </c>
      <c r="H26" s="57">
        <f>Ella_belly!H26*10^3/Ella_belly!C26</f>
        <v/>
      </c>
      <c r="I26" s="57">
        <f>Ella_belly!I26*10^3/Ella_belly!C26</f>
        <v/>
      </c>
      <c r="J26" s="57">
        <f>Ella_belly!J26*10^3/Ella_belly!C26</f>
        <v/>
      </c>
    </row>
    <row r="27" ht="15.75" customHeight="1">
      <c r="A27" s="58" t="n">
        <v>2140</v>
      </c>
      <c r="B27" s="58" t="inlineStr">
        <is>
          <t>belly_level_center_horizontal</t>
        </is>
      </c>
      <c r="C27" s="58" t="n">
        <v>1</v>
      </c>
      <c r="D27" s="59">
        <f>Ella_belly!D27*10^3/Ella_belly!C27</f>
        <v/>
      </c>
      <c r="E27" s="59">
        <f>Ella_belly!E27*10^3/Ella_belly!C27</f>
        <v/>
      </c>
      <c r="F27" s="59">
        <f>Ella_belly!F27*10^3/Ella_belly!C27</f>
        <v/>
      </c>
      <c r="G27" s="59">
        <f>Ella_belly!G27*10^3/Ella_belly!C27</f>
        <v/>
      </c>
      <c r="H27" s="59">
        <f>Ella_belly!H27*10^3/Ella_belly!C27</f>
        <v/>
      </c>
      <c r="I27" s="59">
        <f>Ella_belly!I27*10^3/Ella_belly!C27</f>
        <v/>
      </c>
      <c r="J27" s="59">
        <f>Ella_belly!J27*10^3/Ella_belly!C27</f>
        <v/>
      </c>
    </row>
    <row r="28" ht="15.75" customHeight="1">
      <c r="A28" s="56" t="n">
        <v>2140</v>
      </c>
      <c r="B28" s="56" t="inlineStr">
        <is>
          <t>belly_level_left_vertical</t>
        </is>
      </c>
      <c r="C28" s="56" t="n">
        <v>1</v>
      </c>
      <c r="D28" s="57">
        <f>Ella_belly!D28*10^3/Ella_belly!C28</f>
        <v/>
      </c>
      <c r="E28" s="57">
        <f>Ella_belly!E28*10^3/Ella_belly!C28</f>
        <v/>
      </c>
      <c r="F28" s="57">
        <f>Ella_belly!F28*10^3/Ella_belly!C28</f>
        <v/>
      </c>
      <c r="G28" s="57">
        <f>Ella_belly!G28*10^3/Ella_belly!C28</f>
        <v/>
      </c>
      <c r="H28" s="57">
        <f>Ella_belly!H28*10^3/Ella_belly!C28</f>
        <v/>
      </c>
      <c r="I28" s="57">
        <f>Ella_belly!I28*10^3/Ella_belly!C28</f>
        <v/>
      </c>
      <c r="J28" s="57">
        <f>Ella_belly!J28*10^3/Ella_belly!C28</f>
        <v/>
      </c>
    </row>
    <row r="29" ht="15.75" customHeight="1">
      <c r="A29" s="58" t="n">
        <v>2140</v>
      </c>
      <c r="B29" s="58" t="inlineStr">
        <is>
          <t>belly_level_left_horizontal</t>
        </is>
      </c>
      <c r="C29" s="58" t="n">
        <v>1</v>
      </c>
      <c r="D29" s="59">
        <f>Ella_belly!D29*10^3/Ella_belly!C29</f>
        <v/>
      </c>
      <c r="E29" s="59">
        <f>Ella_belly!E29*10^3/Ella_belly!C29</f>
        <v/>
      </c>
      <c r="F29" s="59">
        <f>Ella_belly!F29*10^3/Ella_belly!C29</f>
        <v/>
      </c>
      <c r="G29" s="59">
        <f>Ella_belly!G29*10^3/Ella_belly!C29</f>
        <v/>
      </c>
      <c r="H29" s="59">
        <f>Ella_belly!H29*10^3/Ella_belly!C29</f>
        <v/>
      </c>
      <c r="I29" s="59">
        <f>Ella_belly!I29*10^3/Ella_belly!C29</f>
        <v/>
      </c>
      <c r="J29" s="59">
        <f>Ella_belly!J29*10^3/Ella_belly!C29</f>
        <v/>
      </c>
    </row>
    <row r="30" ht="15.75" customHeight="1">
      <c r="A30" s="56" t="n">
        <v>2140</v>
      </c>
      <c r="B30" s="56" t="inlineStr">
        <is>
          <t>belly_level_right_vertical</t>
        </is>
      </c>
      <c r="C30" s="56" t="n">
        <v>1</v>
      </c>
      <c r="D30" s="57">
        <f>Ella_belly!D30*10^3/Ella_belly!C30</f>
        <v/>
      </c>
      <c r="E30" s="57">
        <f>Ella_belly!E30*10^3/Ella_belly!C30</f>
        <v/>
      </c>
      <c r="F30" s="57">
        <f>Ella_belly!F30*10^3/Ella_belly!C30</f>
        <v/>
      </c>
      <c r="G30" s="57">
        <f>Ella_belly!G30*10^3/Ella_belly!C30</f>
        <v/>
      </c>
      <c r="H30" s="57">
        <f>Ella_belly!H30*10^3/Ella_belly!C30</f>
        <v/>
      </c>
      <c r="I30" s="57">
        <f>Ella_belly!I30*10^3/Ella_belly!C30</f>
        <v/>
      </c>
      <c r="J30" s="57">
        <f>Ella_belly!J30*10^3/Ella_belly!C30</f>
        <v/>
      </c>
    </row>
    <row r="31" ht="15.75" customHeight="1">
      <c r="A31" s="58" t="n">
        <v>2140</v>
      </c>
      <c r="B31" s="58" t="inlineStr">
        <is>
          <t>belly_level_right_horizontal</t>
        </is>
      </c>
      <c r="C31" s="58" t="n">
        <v>1</v>
      </c>
      <c r="D31" s="59">
        <f>Ella_belly!D31*10^3/Ella_belly!C31</f>
        <v/>
      </c>
      <c r="E31" s="59">
        <f>Ella_belly!E31*10^3/Ella_belly!C31</f>
        <v/>
      </c>
      <c r="F31" s="59">
        <f>Ella_belly!F31*10^3/Ella_belly!C31</f>
        <v/>
      </c>
      <c r="G31" s="59">
        <f>Ella_belly!G31*10^3/Ella_belly!C31</f>
        <v/>
      </c>
      <c r="H31" s="59">
        <f>Ella_belly!H31*10^3/Ella_belly!C31</f>
        <v/>
      </c>
      <c r="I31" s="59">
        <f>Ella_belly!I31*10^3/Ella_belly!C31</f>
        <v/>
      </c>
      <c r="J31" s="59">
        <f>Ella_belly!J31*10^3/Ella_belly!C31</f>
        <v/>
      </c>
    </row>
    <row r="32" ht="15.75" customHeight="1">
      <c r="A32" s="56" t="n">
        <v>2140</v>
      </c>
      <c r="B32" s="56" t="inlineStr">
        <is>
          <t>belly_level_up_vertical</t>
        </is>
      </c>
      <c r="C32" s="56" t="n">
        <v>1</v>
      </c>
      <c r="D32" s="57">
        <f>Ella_belly!D32*10^3/Ella_belly!C32</f>
        <v/>
      </c>
      <c r="E32" s="57">
        <f>Ella_belly!E32*10^3/Ella_belly!C32</f>
        <v/>
      </c>
      <c r="F32" s="57">
        <f>Ella_belly!F32*10^3/Ella_belly!C32</f>
        <v/>
      </c>
      <c r="G32" s="57">
        <f>Ella_belly!G32*10^3/Ella_belly!C32</f>
        <v/>
      </c>
      <c r="H32" s="57">
        <f>Ella_belly!H32*10^3/Ella_belly!C32</f>
        <v/>
      </c>
      <c r="I32" s="57">
        <f>Ella_belly!I32*10^3/Ella_belly!C32</f>
        <v/>
      </c>
      <c r="J32" s="57">
        <f>Ella_belly!J32*10^3/Ella_belly!C32</f>
        <v/>
      </c>
    </row>
    <row r="33" ht="16.5" customHeight="1">
      <c r="A33" s="8" t="n">
        <v>2140</v>
      </c>
      <c r="B33" s="8" t="inlineStr">
        <is>
          <t>belly_level_up_horizontal</t>
        </is>
      </c>
      <c r="C33" s="8" t="n">
        <v>1</v>
      </c>
      <c r="D33" s="12">
        <f>Ella_belly!D33*10^3/Ella_belly!C33</f>
        <v/>
      </c>
      <c r="E33" s="12">
        <f>Ella_belly!E33*10^3/Ella_belly!C33</f>
        <v/>
      </c>
      <c r="F33" s="12">
        <f>Ella_belly!F33*10^3/Ella_belly!C33</f>
        <v/>
      </c>
      <c r="G33" s="12">
        <f>Ella_belly!G33*10^3/Ella_belly!C33</f>
        <v/>
      </c>
      <c r="H33" s="12">
        <f>Ella_belly!H33*10^3/Ella_belly!C33</f>
        <v/>
      </c>
      <c r="I33" s="12">
        <f>Ella_belly!I33*10^3/Ella_belly!C33</f>
        <v/>
      </c>
      <c r="J33" s="12">
        <f>Ella_belly!J33*10^3/Ella_belly!C33</f>
        <v/>
      </c>
    </row>
    <row r="34" ht="15.75" customHeight="1">
      <c r="A34" s="5" t="n">
        <v>2450</v>
      </c>
      <c r="B34" s="5" t="inlineStr">
        <is>
          <t>belly_level_center_vertical</t>
        </is>
      </c>
      <c r="C34" s="5" t="n">
        <v>1</v>
      </c>
      <c r="D34" s="9">
        <f>Ella_belly!D34*10^3/Ella_belly!C34</f>
        <v/>
      </c>
      <c r="E34" s="9">
        <f>Ella_belly!E34*10^3/Ella_belly!C34</f>
        <v/>
      </c>
      <c r="F34" s="9">
        <f>Ella_belly!F34*10^3/Ella_belly!C34</f>
        <v/>
      </c>
      <c r="G34" s="9">
        <f>Ella_belly!G34*10^3/Ella_belly!C34</f>
        <v/>
      </c>
      <c r="H34" s="9">
        <f>Ella_belly!H34*10^3/Ella_belly!C34</f>
        <v/>
      </c>
      <c r="I34" s="9">
        <f>Ella_belly!I34*10^3/Ella_belly!C34</f>
        <v/>
      </c>
      <c r="J34" s="9">
        <f>Ella_belly!J34*10^3/Ella_belly!C34</f>
        <v/>
      </c>
    </row>
    <row r="35" ht="15.75" customHeight="1">
      <c r="A35" s="58" t="n">
        <v>2450</v>
      </c>
      <c r="B35" s="58" t="inlineStr">
        <is>
          <t>belly_level_center_horizontal</t>
        </is>
      </c>
      <c r="C35" s="58" t="n">
        <v>1</v>
      </c>
      <c r="D35" s="59">
        <f>Ella_belly!D35*10^3/Ella_belly!C35</f>
        <v/>
      </c>
      <c r="E35" s="59">
        <f>Ella_belly!E35*10^3/Ella_belly!C35</f>
        <v/>
      </c>
      <c r="F35" s="59">
        <f>Ella_belly!F35*10^3/Ella_belly!C35</f>
        <v/>
      </c>
      <c r="G35" s="59">
        <f>Ella_belly!G35*10^3/Ella_belly!C35</f>
        <v/>
      </c>
      <c r="H35" s="59">
        <f>Ella_belly!H35*10^3/Ella_belly!C35</f>
        <v/>
      </c>
      <c r="I35" s="59">
        <f>Ella_belly!I35*10^3/Ella_belly!C35</f>
        <v/>
      </c>
      <c r="J35" s="59">
        <f>Ella_belly!J35*10^3/Ella_belly!C35</f>
        <v/>
      </c>
    </row>
    <row r="36" ht="15.75" customHeight="1">
      <c r="A36" s="56" t="n">
        <v>2450</v>
      </c>
      <c r="B36" s="56" t="inlineStr">
        <is>
          <t>belly_level_left_vertical</t>
        </is>
      </c>
      <c r="C36" s="56" t="n">
        <v>1</v>
      </c>
      <c r="D36" s="57">
        <f>Ella_belly!D36*10^3/Ella_belly!C36</f>
        <v/>
      </c>
      <c r="E36" s="57">
        <f>Ella_belly!E36*10^3/Ella_belly!C36</f>
        <v/>
      </c>
      <c r="F36" s="57">
        <f>Ella_belly!F36*10^3/Ella_belly!C36</f>
        <v/>
      </c>
      <c r="G36" s="57">
        <f>Ella_belly!G36*10^3/Ella_belly!C36</f>
        <v/>
      </c>
      <c r="H36" s="57">
        <f>Ella_belly!H36*10^3/Ella_belly!C36</f>
        <v/>
      </c>
      <c r="I36" s="57">
        <f>Ella_belly!I36*10^3/Ella_belly!C36</f>
        <v/>
      </c>
      <c r="J36" s="57">
        <f>Ella_belly!J36*10^3/Ella_belly!C36</f>
        <v/>
      </c>
    </row>
    <row r="37" ht="15.75" customHeight="1">
      <c r="A37" s="58" t="n">
        <v>2450</v>
      </c>
      <c r="B37" s="58" t="inlineStr">
        <is>
          <t>belly_level_left_horizontal</t>
        </is>
      </c>
      <c r="C37" s="58" t="n">
        <v>1</v>
      </c>
      <c r="D37" s="59">
        <f>Ella_belly!D37*10^3/Ella_belly!C37</f>
        <v/>
      </c>
      <c r="E37" s="59">
        <f>Ella_belly!E37*10^3/Ella_belly!C37</f>
        <v/>
      </c>
      <c r="F37" s="59">
        <f>Ella_belly!F37*10^3/Ella_belly!C37</f>
        <v/>
      </c>
      <c r="G37" s="59">
        <f>Ella_belly!G37*10^3/Ella_belly!C37</f>
        <v/>
      </c>
      <c r="H37" s="59">
        <f>Ella_belly!H37*10^3/Ella_belly!C37</f>
        <v/>
      </c>
      <c r="I37" s="59">
        <f>Ella_belly!I37*10^3/Ella_belly!C37</f>
        <v/>
      </c>
      <c r="J37" s="59">
        <f>Ella_belly!J37*10^3/Ella_belly!C37</f>
        <v/>
      </c>
    </row>
    <row r="38" ht="15.75" customHeight="1">
      <c r="A38" s="56" t="n">
        <v>2450</v>
      </c>
      <c r="B38" s="56" t="inlineStr">
        <is>
          <t>belly_level_right_vertical</t>
        </is>
      </c>
      <c r="C38" s="56" t="n">
        <v>1</v>
      </c>
      <c r="D38" s="57">
        <f>Ella_belly!D38*10^3/Ella_belly!C38</f>
        <v/>
      </c>
      <c r="E38" s="57">
        <f>Ella_belly!E38*10^3/Ella_belly!C38</f>
        <v/>
      </c>
      <c r="F38" s="57">
        <f>Ella_belly!F38*10^3/Ella_belly!C38</f>
        <v/>
      </c>
      <c r="G38" s="57">
        <f>Ella_belly!G38*10^3/Ella_belly!C38</f>
        <v/>
      </c>
      <c r="H38" s="57">
        <f>Ella_belly!H38*10^3/Ella_belly!C38</f>
        <v/>
      </c>
      <c r="I38" s="57">
        <f>Ella_belly!I38*10^3/Ella_belly!C38</f>
        <v/>
      </c>
      <c r="J38" s="57">
        <f>Ella_belly!J38*10^3/Ella_belly!C38</f>
        <v/>
      </c>
    </row>
    <row r="39" ht="15.75" customHeight="1">
      <c r="A39" s="58" t="n">
        <v>2450</v>
      </c>
      <c r="B39" s="58" t="inlineStr">
        <is>
          <t>belly_level_right_horizontal</t>
        </is>
      </c>
      <c r="C39" s="58" t="n">
        <v>1</v>
      </c>
      <c r="D39" s="59">
        <f>Ella_belly!D39*10^3/Ella_belly!C39</f>
        <v/>
      </c>
      <c r="E39" s="59">
        <f>Ella_belly!E39*10^3/Ella_belly!C39</f>
        <v/>
      </c>
      <c r="F39" s="59">
        <f>Ella_belly!F39*10^3/Ella_belly!C39</f>
        <v/>
      </c>
      <c r="G39" s="59">
        <f>Ella_belly!G39*10^3/Ella_belly!C39</f>
        <v/>
      </c>
      <c r="H39" s="59">
        <f>Ella_belly!H39*10^3/Ella_belly!C39</f>
        <v/>
      </c>
      <c r="I39" s="59">
        <f>Ella_belly!I39*10^3/Ella_belly!C39</f>
        <v/>
      </c>
      <c r="J39" s="59">
        <f>Ella_belly!J39*10^3/Ella_belly!C39</f>
        <v/>
      </c>
    </row>
    <row r="40" ht="15.75" customHeight="1">
      <c r="A40" s="56" t="n">
        <v>2450</v>
      </c>
      <c r="B40" s="56" t="inlineStr">
        <is>
          <t>belly_level_up_vertical</t>
        </is>
      </c>
      <c r="C40" s="56" t="n">
        <v>1</v>
      </c>
      <c r="D40" s="57">
        <f>Ella_belly!D40*10^3/Ella_belly!C40</f>
        <v/>
      </c>
      <c r="E40" s="57">
        <f>Ella_belly!E40*10^3/Ella_belly!C40</f>
        <v/>
      </c>
      <c r="F40" s="57">
        <f>Ella_belly!F40*10^3/Ella_belly!C40</f>
        <v/>
      </c>
      <c r="G40" s="57">
        <f>Ella_belly!G40*10^3/Ella_belly!C40</f>
        <v/>
      </c>
      <c r="H40" s="57">
        <f>Ella_belly!H40*10^3/Ella_belly!C40</f>
        <v/>
      </c>
      <c r="I40" s="57">
        <f>Ella_belly!I40*10^3/Ella_belly!C40</f>
        <v/>
      </c>
      <c r="J40" s="57">
        <f>Ella_belly!J40*10^3/Ella_belly!C40</f>
        <v/>
      </c>
    </row>
    <row r="41" ht="16.5" customHeight="1">
      <c r="A41" s="8" t="n">
        <v>2450</v>
      </c>
      <c r="B41" s="8" t="inlineStr">
        <is>
          <t>belly_level_up_horizontal</t>
        </is>
      </c>
      <c r="C41" s="8" t="n">
        <v>1</v>
      </c>
      <c r="D41" s="12">
        <f>Ella_belly!D41*10^3/Ella_belly!C41</f>
        <v/>
      </c>
      <c r="E41" s="12">
        <f>Ella_belly!E41*10^3/Ella_belly!C41</f>
        <v/>
      </c>
      <c r="F41" s="12">
        <f>Ella_belly!F41*10^3/Ella_belly!C41</f>
        <v/>
      </c>
      <c r="G41" s="12">
        <f>Ella_belly!G41*10^3/Ella_belly!C41</f>
        <v/>
      </c>
      <c r="H41" s="12">
        <f>Ella_belly!H41*10^3/Ella_belly!C41</f>
        <v/>
      </c>
      <c r="I41" s="12">
        <f>Ella_belly!I41*10^3/Ella_belly!C41</f>
        <v/>
      </c>
      <c r="J41" s="12">
        <f>Ella_belly!J41*10^3/Ella_belly!C41</f>
        <v/>
      </c>
    </row>
    <row r="42" ht="15.75" customHeight="1">
      <c r="A42" s="5" t="n">
        <v>3500</v>
      </c>
      <c r="B42" s="5" t="inlineStr">
        <is>
          <t>belly_level_center_vertical</t>
        </is>
      </c>
      <c r="C42" s="5" t="n">
        <v>1</v>
      </c>
      <c r="D42" s="9">
        <f>Ella_belly!D42*10^3/Ella_belly!C42</f>
        <v/>
      </c>
      <c r="E42" s="57">
        <f>Ella_belly!E42*10^3/Ella_belly!C42</f>
        <v/>
      </c>
      <c r="F42" s="9">
        <f>Ella_belly!F42*10^3/Ella_belly!C42</f>
        <v/>
      </c>
      <c r="G42" s="9">
        <f>Ella_belly!G42*10^3/Ella_belly!C42</f>
        <v/>
      </c>
      <c r="H42" s="9">
        <f>Ella_belly!H42*10^3/Ella_belly!C42</f>
        <v/>
      </c>
      <c r="I42" s="9">
        <f>Ella_belly!I42*10^3/Ella_belly!C42</f>
        <v/>
      </c>
      <c r="J42" s="9">
        <f>Ella_belly!J42*10^3/Ella_belly!C42</f>
        <v/>
      </c>
    </row>
    <row r="43" ht="15.75" customHeight="1">
      <c r="A43" s="58" t="n">
        <v>3500</v>
      </c>
      <c r="B43" s="58" t="inlineStr">
        <is>
          <t>belly_level_center_horizontal</t>
        </is>
      </c>
      <c r="C43" s="58" t="n">
        <v>1</v>
      </c>
      <c r="D43" s="59">
        <f>Ella_belly!D43*10^3/Ella_belly!C43</f>
        <v/>
      </c>
      <c r="E43" s="59">
        <f>Ella_belly!E43*10^3/Ella_belly!C43</f>
        <v/>
      </c>
      <c r="F43" s="59">
        <f>Ella_belly!F43*10^3/Ella_belly!C43</f>
        <v/>
      </c>
      <c r="G43" s="59">
        <f>Ella_belly!G43*10^3/Ella_belly!C43</f>
        <v/>
      </c>
      <c r="H43" s="59">
        <f>Ella_belly!H43*10^3/Ella_belly!C43</f>
        <v/>
      </c>
      <c r="I43" s="59">
        <f>Ella_belly!I43*10^3/Ella_belly!C43</f>
        <v/>
      </c>
      <c r="J43" s="59">
        <f>Ella_belly!J43*10^3/Ella_belly!C43</f>
        <v/>
      </c>
    </row>
    <row r="44" ht="15.75" customHeight="1">
      <c r="A44" s="56" t="n">
        <v>3500</v>
      </c>
      <c r="B44" s="56" t="inlineStr">
        <is>
          <t>belly_level_left_vertical</t>
        </is>
      </c>
      <c r="C44" s="56" t="n">
        <v>1</v>
      </c>
      <c r="D44" s="57">
        <f>Ella_belly!D44*10^3/Ella_belly!C44</f>
        <v/>
      </c>
      <c r="E44" s="57">
        <f>Ella_belly!E44*10^3/Ella_belly!C44</f>
        <v/>
      </c>
      <c r="F44" s="57">
        <f>Ella_belly!F44*10^3/Ella_belly!C44</f>
        <v/>
      </c>
      <c r="G44" s="57">
        <f>Ella_belly!G44*10^3/Ella_belly!C44</f>
        <v/>
      </c>
      <c r="H44" s="57">
        <f>Ella_belly!H44*10^3/Ella_belly!C44</f>
        <v/>
      </c>
      <c r="I44" s="57">
        <f>Ella_belly!I44*10^3/Ella_belly!C44</f>
        <v/>
      </c>
      <c r="J44" s="57">
        <f>Ella_belly!J44*10^3/Ella_belly!C44</f>
        <v/>
      </c>
    </row>
    <row r="45" ht="15.75" customHeight="1">
      <c r="A45" s="58" t="n">
        <v>3500</v>
      </c>
      <c r="B45" s="58" t="inlineStr">
        <is>
          <t>belly_level_left_horizontal</t>
        </is>
      </c>
      <c r="C45" s="58" t="n">
        <v>1</v>
      </c>
      <c r="D45" s="59">
        <f>Ella_belly!D45*10^3/Ella_belly!C45</f>
        <v/>
      </c>
      <c r="E45" s="59">
        <f>Ella_belly!E45*10^3/Ella_belly!C45</f>
        <v/>
      </c>
      <c r="F45" s="59">
        <f>Ella_belly!F45*10^3/Ella_belly!C45</f>
        <v/>
      </c>
      <c r="G45" s="59">
        <f>Ella_belly!G45*10^3/Ella_belly!C45</f>
        <v/>
      </c>
      <c r="H45" s="59">
        <f>Ella_belly!H45*10^3/Ella_belly!C45</f>
        <v/>
      </c>
      <c r="I45" s="59">
        <f>Ella_belly!I45*10^3/Ella_belly!C45</f>
        <v/>
      </c>
      <c r="J45" s="59">
        <f>Ella_belly!J45*10^3/Ella_belly!C45</f>
        <v/>
      </c>
    </row>
    <row r="46" ht="15.75" customHeight="1">
      <c r="A46" s="56" t="n">
        <v>3500</v>
      </c>
      <c r="B46" s="56" t="inlineStr">
        <is>
          <t>belly_level_right_vertical</t>
        </is>
      </c>
      <c r="C46" s="56" t="n">
        <v>1</v>
      </c>
      <c r="D46" s="57">
        <f>Ella_belly!D46*10^3/Ella_belly!C46</f>
        <v/>
      </c>
      <c r="E46" s="57">
        <f>Ella_belly!E46*10^3/Ella_belly!C46</f>
        <v/>
      </c>
      <c r="F46" s="57">
        <f>Ella_belly!F46*10^3/Ella_belly!C46</f>
        <v/>
      </c>
      <c r="G46" s="57">
        <f>Ella_belly!G46*10^3/Ella_belly!C46</f>
        <v/>
      </c>
      <c r="H46" s="57">
        <f>Ella_belly!H46*10^3/Ella_belly!C46</f>
        <v/>
      </c>
      <c r="I46" s="57">
        <f>Ella_belly!I46*10^3/Ella_belly!C46</f>
        <v/>
      </c>
      <c r="J46" s="57">
        <f>Ella_belly!J46*10^3/Ella_belly!C46</f>
        <v/>
      </c>
    </row>
    <row r="47" ht="15.75" customHeight="1">
      <c r="A47" s="58" t="n">
        <v>3500</v>
      </c>
      <c r="B47" s="58" t="inlineStr">
        <is>
          <t>belly_level_right_horizontal</t>
        </is>
      </c>
      <c r="C47" s="58" t="n">
        <v>1</v>
      </c>
      <c r="D47" s="59">
        <f>Ella_belly!D47*10^3/Ella_belly!C47</f>
        <v/>
      </c>
      <c r="E47" s="59">
        <f>Ella_belly!E47*10^3/Ella_belly!C47</f>
        <v/>
      </c>
      <c r="F47" s="59">
        <f>Ella_belly!F47*10^3/Ella_belly!C47</f>
        <v/>
      </c>
      <c r="G47" s="59">
        <f>Ella_belly!G47*10^3/Ella_belly!C47</f>
        <v/>
      </c>
      <c r="H47" s="59">
        <f>Ella_belly!H47*10^3/Ella_belly!C47</f>
        <v/>
      </c>
      <c r="I47" s="59">
        <f>Ella_belly!I47*10^3/Ella_belly!C47</f>
        <v/>
      </c>
      <c r="J47" s="59">
        <f>Ella_belly!J47*10^3/Ella_belly!C47</f>
        <v/>
      </c>
    </row>
    <row r="48" ht="15.75" customHeight="1">
      <c r="A48" s="56" t="n">
        <v>3500</v>
      </c>
      <c r="B48" s="56" t="inlineStr">
        <is>
          <t>belly_level_up_vertical</t>
        </is>
      </c>
      <c r="C48" s="56" t="n">
        <v>1</v>
      </c>
      <c r="D48" s="57">
        <f>Ella_belly!D48*10^3/Ella_belly!C48</f>
        <v/>
      </c>
      <c r="E48" s="57">
        <f>Ella_belly!E48*10^3/Ella_belly!C48</f>
        <v/>
      </c>
      <c r="F48" s="57">
        <f>Ella_belly!F48*10^3/Ella_belly!C48</f>
        <v/>
      </c>
      <c r="G48" s="57">
        <f>Ella_belly!G48*10^3/Ella_belly!C48</f>
        <v/>
      </c>
      <c r="H48" s="57">
        <f>Ella_belly!H48*10^3/Ella_belly!C48</f>
        <v/>
      </c>
      <c r="I48" s="57">
        <f>Ella_belly!I48*10^3/Ella_belly!C48</f>
        <v/>
      </c>
      <c r="J48" s="57">
        <f>Ella_belly!J48*10^3/Ella_belly!C48</f>
        <v/>
      </c>
    </row>
    <row r="49" ht="16.5" customHeight="1">
      <c r="A49" s="8" t="n">
        <v>3500</v>
      </c>
      <c r="B49" s="8" t="inlineStr">
        <is>
          <t>belly_level_up_horizontal</t>
        </is>
      </c>
      <c r="C49" s="8" t="n">
        <v>1</v>
      </c>
      <c r="D49" s="12">
        <f>Ella_belly!D49*10^3/Ella_belly!C49</f>
        <v/>
      </c>
      <c r="E49" s="12">
        <f>Ella_belly!E49*10^3/Ella_belly!C49</f>
        <v/>
      </c>
      <c r="F49" s="12">
        <f>Ella_belly!F49*10^3/Ella_belly!C49</f>
        <v/>
      </c>
      <c r="G49" s="12">
        <f>Ella_belly!G49*10^3/Ella_belly!C49</f>
        <v/>
      </c>
      <c r="H49" s="12">
        <f>Ella_belly!H49*10^3/Ella_belly!C49</f>
        <v/>
      </c>
      <c r="I49" s="12">
        <f>Ella_belly!I49*10^3/Ella_belly!C49</f>
        <v/>
      </c>
      <c r="J49" s="12">
        <f>Ella_belly!J49*10^3/Ella_belly!C49</f>
        <v/>
      </c>
    </row>
    <row r="50" ht="15.75" customHeight="1">
      <c r="A50" s="5" t="n">
        <v>5200</v>
      </c>
      <c r="B50" s="5" t="inlineStr">
        <is>
          <t>belly_level_center_vertical</t>
        </is>
      </c>
      <c r="C50" s="5" t="n">
        <v>1</v>
      </c>
      <c r="D50" s="9">
        <f>Ella_belly!D50*10^3/Ella_belly!C50</f>
        <v/>
      </c>
      <c r="E50" s="9">
        <f>Ella_belly!E50*10^3/Ella_belly!C50</f>
        <v/>
      </c>
      <c r="F50" s="9">
        <f>Ella_belly!F50*10^3/Ella_belly!C50</f>
        <v/>
      </c>
      <c r="G50" s="9">
        <f>Ella_belly!G50*10^3/Ella_belly!C50</f>
        <v/>
      </c>
      <c r="H50" s="9">
        <f>Ella_belly!H50*10^3/Ella_belly!C50</f>
        <v/>
      </c>
      <c r="I50" s="9">
        <f>Ella_belly!I50*10^3/Ella_belly!C50</f>
        <v/>
      </c>
      <c r="J50" s="9">
        <f>Ella_belly!J50*10^3/Ella_belly!C50</f>
        <v/>
      </c>
    </row>
    <row r="51" ht="15.75" customHeight="1">
      <c r="A51" s="58" t="n">
        <v>5200</v>
      </c>
      <c r="B51" s="58" t="inlineStr">
        <is>
          <t>belly_level_center_horizontal</t>
        </is>
      </c>
      <c r="C51" s="58" t="n">
        <v>1</v>
      </c>
      <c r="D51" s="59">
        <f>Ella_belly!D51*10^3/Ella_belly!C51</f>
        <v/>
      </c>
      <c r="E51" s="59">
        <f>Ella_belly!E51*10^3/Ella_belly!C51</f>
        <v/>
      </c>
      <c r="F51" s="59">
        <f>Ella_belly!F51*10^3/Ella_belly!C51</f>
        <v/>
      </c>
      <c r="G51" s="59">
        <f>Ella_belly!G51*10^3/Ella_belly!C51</f>
        <v/>
      </c>
      <c r="H51" s="59">
        <f>Ella_belly!H51*10^3/Ella_belly!C51</f>
        <v/>
      </c>
      <c r="I51" s="59">
        <f>Ella_belly!I51*10^3/Ella_belly!C51</f>
        <v/>
      </c>
      <c r="J51" s="59">
        <f>Ella_belly!J51*10^3/Ella_belly!C51</f>
        <v/>
      </c>
    </row>
    <row r="52" ht="15.75" customHeight="1">
      <c r="A52" s="56" t="n">
        <v>5200</v>
      </c>
      <c r="B52" s="56" t="inlineStr">
        <is>
          <t>belly_level_left_vertical</t>
        </is>
      </c>
      <c r="C52" s="56" t="n">
        <v>1</v>
      </c>
      <c r="D52" s="57">
        <f>Ella_belly!D52*10^3/Ella_belly!C52</f>
        <v/>
      </c>
      <c r="E52" s="57">
        <f>Ella_belly!E52*10^3/Ella_belly!C52</f>
        <v/>
      </c>
      <c r="F52" s="57">
        <f>Ella_belly!F52*10^3/Ella_belly!C52</f>
        <v/>
      </c>
      <c r="G52" s="57">
        <f>Ella_belly!G52*10^3/Ella_belly!C52</f>
        <v/>
      </c>
      <c r="H52" s="57">
        <f>Ella_belly!H52*10^3/Ella_belly!C52</f>
        <v/>
      </c>
      <c r="I52" s="57">
        <f>Ella_belly!I52*10^3/Ella_belly!C52</f>
        <v/>
      </c>
      <c r="J52" s="57">
        <f>Ella_belly!J52*10^3/Ella_belly!C52</f>
        <v/>
      </c>
    </row>
    <row r="53" ht="15.75" customHeight="1">
      <c r="A53" s="58" t="n">
        <v>5200</v>
      </c>
      <c r="B53" s="58" t="inlineStr">
        <is>
          <t>belly_level_left_horizontal</t>
        </is>
      </c>
      <c r="C53" s="58" t="n">
        <v>1</v>
      </c>
      <c r="D53" s="59">
        <f>Ella_belly!D53*10^3/Ella_belly!C53</f>
        <v/>
      </c>
      <c r="E53" s="59">
        <f>Ella_belly!E53*10^3/Ella_belly!C53</f>
        <v/>
      </c>
      <c r="F53" s="59">
        <f>Ella_belly!F53*10^3/Ella_belly!C53</f>
        <v/>
      </c>
      <c r="G53" s="59">
        <f>Ella_belly!G53*10^3/Ella_belly!C53</f>
        <v/>
      </c>
      <c r="H53" s="59">
        <f>Ella_belly!H53*10^3/Ella_belly!C53</f>
        <v/>
      </c>
      <c r="I53" s="59">
        <f>Ella_belly!I53*10^3/Ella_belly!C53</f>
        <v/>
      </c>
      <c r="J53" s="59">
        <f>Ella_belly!J53*10^3/Ella_belly!C53</f>
        <v/>
      </c>
    </row>
    <row r="54" ht="15.75" customHeight="1">
      <c r="A54" s="56" t="n">
        <v>5200</v>
      </c>
      <c r="B54" s="56" t="inlineStr">
        <is>
          <t>belly_level_right_vertical</t>
        </is>
      </c>
      <c r="C54" s="56" t="n">
        <v>1</v>
      </c>
      <c r="D54" s="57">
        <f>Ella_belly!D54*10^3/Ella_belly!C54</f>
        <v/>
      </c>
      <c r="E54" s="57">
        <f>Ella_belly!E54*10^3/Ella_belly!C54</f>
        <v/>
      </c>
      <c r="F54" s="57">
        <f>Ella_belly!F54*10^3/Ella_belly!C54</f>
        <v/>
      </c>
      <c r="G54" s="57">
        <f>Ella_belly!G54*10^3/Ella_belly!C54</f>
        <v/>
      </c>
      <c r="H54" s="57">
        <f>Ella_belly!H54*10^3/Ella_belly!C54</f>
        <v/>
      </c>
      <c r="I54" s="57">
        <f>Ella_belly!I54*10^3/Ella_belly!C54</f>
        <v/>
      </c>
      <c r="J54" s="57">
        <f>Ella_belly!J54*10^3/Ella_belly!C54</f>
        <v/>
      </c>
    </row>
    <row r="55" ht="15.75" customHeight="1">
      <c r="A55" s="58" t="n">
        <v>5200</v>
      </c>
      <c r="B55" s="58" t="inlineStr">
        <is>
          <t>belly_level_right_horizontal</t>
        </is>
      </c>
      <c r="C55" s="58" t="n">
        <v>1</v>
      </c>
      <c r="D55" s="59">
        <f>Ella_belly!D55*10^3/Ella_belly!C55</f>
        <v/>
      </c>
      <c r="E55" s="59">
        <f>Ella_belly!E55*10^3/Ella_belly!C55</f>
        <v/>
      </c>
      <c r="F55" s="59">
        <f>Ella_belly!F55*10^3/Ella_belly!C55</f>
        <v/>
      </c>
      <c r="G55" s="59">
        <f>Ella_belly!G55*10^3/Ella_belly!C55</f>
        <v/>
      </c>
      <c r="H55" s="59">
        <f>Ella_belly!H55*10^3/Ella_belly!C55</f>
        <v/>
      </c>
      <c r="I55" s="59">
        <f>Ella_belly!I55*10^3/Ella_belly!C55</f>
        <v/>
      </c>
      <c r="J55" s="59">
        <f>Ella_belly!J55*10^3/Ella_belly!C55</f>
        <v/>
      </c>
    </row>
    <row r="56" ht="15.75" customHeight="1">
      <c r="A56" s="56" t="n">
        <v>5200</v>
      </c>
      <c r="B56" s="56" t="inlineStr">
        <is>
          <t>belly_level_up_vertical</t>
        </is>
      </c>
      <c r="C56" s="56" t="n">
        <v>1</v>
      </c>
      <c r="D56" s="57">
        <f>Ella_belly!D56*10^3/Ella_belly!C56</f>
        <v/>
      </c>
      <c r="E56" s="57">
        <f>Ella_belly!E56*10^3/Ella_belly!C56</f>
        <v/>
      </c>
      <c r="F56" s="57">
        <f>Ella_belly!F56*10^3/Ella_belly!C56</f>
        <v/>
      </c>
      <c r="G56" s="57">
        <f>Ella_belly!G56*10^3/Ella_belly!C56</f>
        <v/>
      </c>
      <c r="H56" s="57">
        <f>Ella_belly!H56*10^3/Ella_belly!C56</f>
        <v/>
      </c>
      <c r="I56" s="57">
        <f>Ella_belly!I56*10^3/Ella_belly!C56</f>
        <v/>
      </c>
      <c r="J56" s="57">
        <f>Ella_belly!J56*10^3/Ella_belly!C56</f>
        <v/>
      </c>
    </row>
    <row r="57" ht="16.5" customHeight="1">
      <c r="A57" s="8" t="n">
        <v>5200</v>
      </c>
      <c r="B57" s="8" t="inlineStr">
        <is>
          <t>belly_level_up_horizontal</t>
        </is>
      </c>
      <c r="C57" s="8" t="n">
        <v>1</v>
      </c>
      <c r="D57" s="12">
        <f>Ella_belly!D57*10^3/Ella_belly!C57</f>
        <v/>
      </c>
      <c r="E57" s="12">
        <f>Ella_belly!E57*10^3/Ella_belly!C57</f>
        <v/>
      </c>
      <c r="F57" s="12">
        <f>Ella_belly!F57*10^3/Ella_belly!C57</f>
        <v/>
      </c>
      <c r="G57" s="12">
        <f>Ella_belly!G57*10^3/Ella_belly!C57</f>
        <v/>
      </c>
      <c r="H57" s="12">
        <f>Ella_belly!H57*10^3/Ella_belly!C57</f>
        <v/>
      </c>
      <c r="I57" s="12">
        <f>Ella_belly!I57*10^3/Ella_belly!C57</f>
        <v/>
      </c>
      <c r="J57" s="12">
        <f>Ella_belly!J57*10^3/Ella_belly!C57</f>
        <v/>
      </c>
    </row>
    <row r="58" ht="14.25" customHeight="1">
      <c r="A58" s="5" t="n">
        <v>5800</v>
      </c>
      <c r="B58" s="5" t="inlineStr">
        <is>
          <t>belly_level_center_vertical</t>
        </is>
      </c>
      <c r="C58" s="5" t="n">
        <v>1</v>
      </c>
      <c r="D58" s="9">
        <f>Ella_belly!D58*10^3/Ella_belly!C58</f>
        <v/>
      </c>
      <c r="E58" s="9">
        <f>Ella_belly!E58*10^3/Ella_belly!C58</f>
        <v/>
      </c>
      <c r="F58" s="9">
        <f>Ella_belly!F58*10^3/Ella_belly!C58</f>
        <v/>
      </c>
      <c r="G58" s="9">
        <f>Ella_belly!G58*10^3/Ella_belly!C58</f>
        <v/>
      </c>
      <c r="H58" s="9">
        <f>Ella_belly!H58*10^3/Ella_belly!C58</f>
        <v/>
      </c>
      <c r="I58" s="9">
        <f>Ella_belly!I58*10^3/Ella_belly!C58</f>
        <v/>
      </c>
      <c r="J58" s="9">
        <f>Ella_belly!J58*10^3/Ella_belly!C58</f>
        <v/>
      </c>
    </row>
    <row r="59" ht="15.75" customHeight="1">
      <c r="A59" s="58" t="n">
        <v>5800</v>
      </c>
      <c r="B59" s="58" t="inlineStr">
        <is>
          <t>belly_level_center_horizontal</t>
        </is>
      </c>
      <c r="C59" s="58" t="n">
        <v>1</v>
      </c>
      <c r="D59" s="59">
        <f>Ella_belly!D59*10^3/Ella_belly!C59</f>
        <v/>
      </c>
      <c r="E59" s="59">
        <f>Ella_belly!E59*10^3/Ella_belly!C59</f>
        <v/>
      </c>
      <c r="F59" s="59">
        <f>Ella_belly!F59*10^3/Ella_belly!C59</f>
        <v/>
      </c>
      <c r="G59" s="59">
        <f>Ella_belly!G59*10^3/Ella_belly!C59</f>
        <v/>
      </c>
      <c r="H59" s="59">
        <f>Ella_belly!H59*10^3/Ella_belly!C59</f>
        <v/>
      </c>
      <c r="I59" s="59">
        <f>Ella_belly!I59*10^3/Ella_belly!C59</f>
        <v/>
      </c>
      <c r="J59" s="59">
        <f>Ella_belly!J59*10^3/Ella_belly!C59</f>
        <v/>
      </c>
    </row>
    <row r="60" ht="15.75" customHeight="1">
      <c r="A60" s="56" t="n">
        <v>5800</v>
      </c>
      <c r="B60" s="56" t="inlineStr">
        <is>
          <t>belly_level_left_vertical</t>
        </is>
      </c>
      <c r="C60" s="56" t="n">
        <v>1</v>
      </c>
      <c r="D60" s="57">
        <f>Ella_belly!D60*10^3/Ella_belly!C60</f>
        <v/>
      </c>
      <c r="E60" s="57">
        <f>Ella_belly!E60*10^3/Ella_belly!C60</f>
        <v/>
      </c>
      <c r="F60" s="57">
        <f>Ella_belly!F60*10^3/Ella_belly!C60</f>
        <v/>
      </c>
      <c r="G60" s="57">
        <f>Ella_belly!G60*10^3/Ella_belly!C60</f>
        <v/>
      </c>
      <c r="H60" s="57">
        <f>Ella_belly!H60*10^3/Ella_belly!C60</f>
        <v/>
      </c>
      <c r="I60" s="57">
        <f>Ella_belly!I60*10^3/Ella_belly!C60</f>
        <v/>
      </c>
      <c r="J60" s="57">
        <f>Ella_belly!J60*10^3/Ella_belly!C60</f>
        <v/>
      </c>
    </row>
    <row r="61" ht="15.75" customHeight="1">
      <c r="A61" s="58" t="n">
        <v>5800</v>
      </c>
      <c r="B61" s="58" t="inlineStr">
        <is>
          <t>belly_level_left_horizontal</t>
        </is>
      </c>
      <c r="C61" s="58" t="n">
        <v>1</v>
      </c>
      <c r="D61" s="59">
        <f>Ella_belly!D61*10^3/Ella_belly!C61</f>
        <v/>
      </c>
      <c r="E61" s="59">
        <f>Ella_belly!E61*10^3/Ella_belly!C61</f>
        <v/>
      </c>
      <c r="F61" s="59">
        <f>Ella_belly!F61*10^3/Ella_belly!C61</f>
        <v/>
      </c>
      <c r="G61" s="59">
        <f>Ella_belly!G61*10^3/Ella_belly!C61</f>
        <v/>
      </c>
      <c r="H61" s="59">
        <f>Ella_belly!H61*10^3/Ella_belly!C61</f>
        <v/>
      </c>
      <c r="I61" s="59">
        <f>Ella_belly!I61*10^3/Ella_belly!C61</f>
        <v/>
      </c>
      <c r="J61" s="59">
        <f>Ella_belly!J61*10^3/Ella_belly!C61</f>
        <v/>
      </c>
    </row>
    <row r="62" ht="15.75" customHeight="1">
      <c r="A62" s="56" t="n">
        <v>5800</v>
      </c>
      <c r="B62" s="56" t="inlineStr">
        <is>
          <t>belly_level_right_vertical</t>
        </is>
      </c>
      <c r="C62" s="56" t="n">
        <v>1</v>
      </c>
      <c r="D62" s="57">
        <f>Ella_belly!D62*10^3/Ella_belly!C62</f>
        <v/>
      </c>
      <c r="E62" s="57">
        <f>Ella_belly!E62*10^3/Ella_belly!C62</f>
        <v/>
      </c>
      <c r="F62" s="57">
        <f>Ella_belly!F62*10^3/Ella_belly!C62</f>
        <v/>
      </c>
      <c r="G62" s="57">
        <f>Ella_belly!G62*10^3/Ella_belly!C62</f>
        <v/>
      </c>
      <c r="H62" s="57">
        <f>Ella_belly!H62*10^3/Ella_belly!C62</f>
        <v/>
      </c>
      <c r="I62" s="57">
        <f>Ella_belly!I62*10^3/Ella_belly!C62</f>
        <v/>
      </c>
      <c r="J62" s="57">
        <f>Ella_belly!J62*10^3/Ella_belly!C62</f>
        <v/>
      </c>
    </row>
    <row r="63" ht="15.75" customHeight="1">
      <c r="A63" s="58" t="n">
        <v>5800</v>
      </c>
      <c r="B63" s="58" t="inlineStr">
        <is>
          <t>belly_level_right_horizontal</t>
        </is>
      </c>
      <c r="C63" s="58" t="n">
        <v>1</v>
      </c>
      <c r="D63" s="59">
        <f>Ella_belly!D63*10^3/Ella_belly!C63</f>
        <v/>
      </c>
      <c r="E63" s="59">
        <f>Ella_belly!E63*10^3/Ella_belly!C63</f>
        <v/>
      </c>
      <c r="F63" s="59">
        <f>Ella_belly!F63*10^3/Ella_belly!C63</f>
        <v/>
      </c>
      <c r="G63" s="59">
        <f>Ella_belly!G63*10^3/Ella_belly!C63</f>
        <v/>
      </c>
      <c r="H63" s="59">
        <f>Ella_belly!H63*10^3/Ella_belly!C63</f>
        <v/>
      </c>
      <c r="I63" s="59">
        <f>Ella_belly!I63*10^3/Ella_belly!C63</f>
        <v/>
      </c>
      <c r="J63" s="59">
        <f>Ella_belly!J63*10^3/Ella_belly!C63</f>
        <v/>
      </c>
    </row>
    <row r="64" ht="15.75" customHeight="1">
      <c r="A64" s="56" t="n">
        <v>5800</v>
      </c>
      <c r="B64" s="56" t="inlineStr">
        <is>
          <t>belly_level_up_vertical</t>
        </is>
      </c>
      <c r="C64" s="56" t="n">
        <v>1</v>
      </c>
      <c r="D64" s="57">
        <f>Ella_belly!D64*10^3/Ella_belly!C64</f>
        <v/>
      </c>
      <c r="E64" s="57">
        <f>Ella_belly!E64*10^3/Ella_belly!C64</f>
        <v/>
      </c>
      <c r="F64" s="57">
        <f>Ella_belly!F64*10^3/Ella_belly!C64</f>
        <v/>
      </c>
      <c r="G64" s="57">
        <f>Ella_belly!G64*10^3/Ella_belly!C64</f>
        <v/>
      </c>
      <c r="H64" s="57">
        <f>Ella_belly!H64*10^3/Ella_belly!C64</f>
        <v/>
      </c>
      <c r="I64" s="57">
        <f>Ella_belly!I64*10^3/Ella_belly!C64</f>
        <v/>
      </c>
      <c r="J64" s="57">
        <f>Ella_belly!J64*10^3/Ella_belly!C64</f>
        <v/>
      </c>
    </row>
    <row r="65" ht="16.5" customHeight="1">
      <c r="A65" s="8" t="n">
        <v>5800</v>
      </c>
      <c r="B65" s="8" t="inlineStr">
        <is>
          <t>belly_level_up_horizontal</t>
        </is>
      </c>
      <c r="C65" s="8" t="n">
        <v>1</v>
      </c>
      <c r="D65" s="12">
        <f>Ella_belly!D65*10^3/Ella_belly!C65</f>
        <v/>
      </c>
      <c r="E65" s="12">
        <f>Ella_belly!E65*10^3/Ella_belly!C65</f>
        <v/>
      </c>
      <c r="F65" s="12">
        <f>Ella_belly!F65*10^3/Ella_belly!C65</f>
        <v/>
      </c>
      <c r="G65" s="12">
        <f>Ella_belly!G65*10^3/Ella_belly!C65</f>
        <v/>
      </c>
      <c r="H65" s="12">
        <f>Ella_belly!H65*10^3/Ella_belly!C65</f>
        <v/>
      </c>
      <c r="I65" s="12">
        <f>Ella_belly!I65*10^3/Ella_belly!C65</f>
        <v/>
      </c>
      <c r="J65" s="12">
        <f>Ella_belly!J65*10^3/Ella_belly!C65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zoomScale="75" zoomScaleNormal="248" workbookViewId="0">
      <selection activeCell="P25" sqref="P25"/>
    </sheetView>
  </sheetViews>
  <sheetFormatPr baseColWidth="10" defaultColWidth="8.6640625" defaultRowHeight="15"/>
  <cols>
    <col width="12.5" bestFit="1" customWidth="1" min="1" max="1"/>
    <col width="9" bestFit="1" customWidth="1" min="2" max="2"/>
    <col width="14.6640625" bestFit="1" customWidth="1" min="3" max="3"/>
    <col width="20" bestFit="1" customWidth="1" min="4" max="4"/>
    <col width="15.1640625" bestFit="1" customWidth="1" min="5" max="5"/>
    <col width="15.33203125" bestFit="1" customWidth="1" min="6" max="6"/>
    <col width="21" bestFit="1" customWidth="1" min="7" max="7"/>
    <col width="20" bestFit="1" customWidth="1" min="8" max="8"/>
    <col width="19.33203125" bestFit="1" customWidth="1" min="9" max="9"/>
    <col width="20" bestFit="1" customWidth="1" min="10" max="10"/>
  </cols>
  <sheetData>
    <row r="1" ht="16.5" customHeight="1" thickBot="1">
      <c r="A1" s="3" t="inlineStr">
        <is>
          <t>frequency_MHz</t>
        </is>
      </c>
      <c r="B1" s="3" t="inlineStr">
        <is>
          <t>placement</t>
        </is>
      </c>
      <c r="C1" s="4" t="inlineStr">
        <is>
          <t>Input Power  (mW)</t>
        </is>
      </c>
      <c r="D1" s="4" t="inlineStr">
        <is>
          <t>SAR_wholebody (mW/kg)</t>
        </is>
      </c>
      <c r="E1" s="4" t="inlineStr">
        <is>
          <t>SAR_head (mW/kg)</t>
        </is>
      </c>
      <c r="F1" s="4" t="inlineStr">
        <is>
          <t>SAR_trunk (mW/kg)</t>
        </is>
      </c>
      <c r="G1" s="4" t="inlineStr">
        <is>
          <t>SAR averagedbrain(mW/kg)</t>
        </is>
      </c>
      <c r="H1" s="4" t="inlineStr">
        <is>
          <t>psSAR10g_eyes  (mW/kg)</t>
        </is>
      </c>
      <c r="I1" s="4" t="inlineStr">
        <is>
          <t>psSAR10g_skin (mW/kg)</t>
        </is>
      </c>
      <c r="J1" s="4" t="inlineStr">
        <is>
          <t>psSAR10g_brain (mW/kg)</t>
        </is>
      </c>
    </row>
    <row r="2" ht="14.25" customHeight="1">
      <c r="A2" s="60" t="n">
        <v>700</v>
      </c>
      <c r="B2" s="5" t="inlineStr">
        <is>
          <t>cheek_1</t>
        </is>
      </c>
      <c r="C2" s="5" t="n">
        <v>813</v>
      </c>
      <c r="D2" s="9" t="n">
        <v>2.62</v>
      </c>
      <c r="E2" s="9" t="n">
        <v>31.54</v>
      </c>
      <c r="F2" s="9" t="n">
        <v>0.3997</v>
      </c>
      <c r="G2" s="9" t="n">
        <v>9.36824109414758</v>
      </c>
      <c r="H2" s="9" t="n">
        <v>163.6</v>
      </c>
      <c r="I2" s="9" t="n">
        <v>636.8</v>
      </c>
      <c r="J2" s="9" t="n">
        <v>35.3</v>
      </c>
    </row>
    <row r="3" ht="15.75" customHeight="1">
      <c r="A3" s="61" t="n">
        <v>700</v>
      </c>
      <c r="B3" s="58" t="inlineStr">
        <is>
          <t>cheek_2</t>
        </is>
      </c>
      <c r="C3" s="58" t="n">
        <v>813</v>
      </c>
      <c r="D3" s="59" t="n">
        <v>2.535</v>
      </c>
      <c r="E3" s="59" t="n">
        <v>29.68</v>
      </c>
      <c r="F3" s="59" t="n">
        <v>0.5620000000000001</v>
      </c>
      <c r="G3" s="59" t="n">
        <v>6.64933619524605</v>
      </c>
      <c r="H3" s="59" t="n">
        <v>129.5</v>
      </c>
      <c r="I3" s="59" t="n">
        <v>638.8</v>
      </c>
      <c r="J3" s="59" t="n">
        <v>24.93</v>
      </c>
    </row>
    <row r="4" ht="15.75" customHeight="1">
      <c r="A4" s="62" t="n">
        <v>700</v>
      </c>
      <c r="B4" s="56" t="inlineStr">
        <is>
          <t>cheek_3</t>
        </is>
      </c>
      <c r="C4" s="56" t="n">
        <v>813</v>
      </c>
      <c r="D4" s="57" t="n">
        <v>2.817</v>
      </c>
      <c r="E4" s="57" t="n">
        <v>32.03</v>
      </c>
      <c r="F4" s="57" t="n">
        <v>0.8280999999999999</v>
      </c>
      <c r="G4" s="57" t="n">
        <v>5.57229203117544</v>
      </c>
      <c r="H4" s="57" t="n">
        <v>97.94</v>
      </c>
      <c r="I4" s="57" t="n">
        <v>675.2</v>
      </c>
      <c r="J4" s="57" t="n">
        <v>22.31</v>
      </c>
    </row>
    <row r="5" ht="15.75" customHeight="1">
      <c r="A5" s="61" t="n">
        <v>700</v>
      </c>
      <c r="B5" s="58" t="inlineStr">
        <is>
          <t>tilt_1</t>
        </is>
      </c>
      <c r="C5" s="58" t="n">
        <v>813</v>
      </c>
      <c r="D5" s="59" t="n">
        <v>2.771</v>
      </c>
      <c r="E5" s="59" t="n">
        <v>32.98</v>
      </c>
      <c r="F5" s="59" t="n">
        <v>0.4744</v>
      </c>
      <c r="G5" s="59" t="n">
        <v>7.83105747856463</v>
      </c>
      <c r="H5" s="59" t="n">
        <v>64.73999999999999</v>
      </c>
      <c r="I5" s="59" t="n">
        <v>535.1</v>
      </c>
      <c r="J5" s="59" t="n">
        <v>26.7</v>
      </c>
    </row>
    <row r="6" ht="15.75" customHeight="1">
      <c r="A6" s="62" t="n">
        <v>700</v>
      </c>
      <c r="B6" s="56" t="inlineStr">
        <is>
          <t>tilt_2</t>
        </is>
      </c>
      <c r="C6" s="56" t="n">
        <v>813</v>
      </c>
      <c r="D6" s="57" t="n">
        <v>2.393</v>
      </c>
      <c r="E6" s="57" t="n">
        <v>29.24</v>
      </c>
      <c r="F6" s="57" t="n">
        <v>0.2854</v>
      </c>
      <c r="G6" s="57" t="n">
        <v>6.01160203432931</v>
      </c>
      <c r="H6" s="57" t="n">
        <v>29.78</v>
      </c>
      <c r="I6" s="57" t="n">
        <v>684</v>
      </c>
      <c r="J6" s="57" t="n">
        <v>22.85</v>
      </c>
    </row>
    <row r="7" ht="15.75" customHeight="1" thickBot="1">
      <c r="A7" s="63" t="n">
        <v>700</v>
      </c>
      <c r="B7" s="8" t="inlineStr">
        <is>
          <t>tilt_3</t>
        </is>
      </c>
      <c r="C7" s="8" t="n">
        <v>813</v>
      </c>
      <c r="D7" s="12" t="n">
        <v>2.575</v>
      </c>
      <c r="E7" s="12" t="n">
        <v>31.72</v>
      </c>
      <c r="F7" s="12" t="n">
        <v>0.2688</v>
      </c>
      <c r="G7" s="12" t="n">
        <v>6.05660677373191</v>
      </c>
      <c r="H7" s="12" t="n">
        <v>20.9</v>
      </c>
      <c r="I7" s="12" t="n">
        <v>719.1</v>
      </c>
      <c r="J7" s="12" t="n">
        <v>24.02</v>
      </c>
    </row>
    <row r="8" ht="15.75" customHeight="1">
      <c r="A8" s="60" t="n">
        <v>835</v>
      </c>
      <c r="B8" s="5" t="inlineStr">
        <is>
          <t>cheek_1</t>
        </is>
      </c>
      <c r="C8" s="5" t="n">
        <v>636.9</v>
      </c>
      <c r="D8" s="9" t="n">
        <v>2.291</v>
      </c>
      <c r="E8" s="9" t="n">
        <v>27.53</v>
      </c>
      <c r="F8" s="9" t="n">
        <v>0.3562</v>
      </c>
      <c r="G8" s="9" t="n">
        <v>8.54926891290528</v>
      </c>
      <c r="H8" s="9" t="n">
        <v>160.7</v>
      </c>
      <c r="I8" s="9" t="n">
        <v>629.8</v>
      </c>
      <c r="J8" s="9" t="n">
        <v>29.2</v>
      </c>
    </row>
    <row r="9" ht="16.5" customHeight="1">
      <c r="A9" s="61" t="n">
        <v>835</v>
      </c>
      <c r="B9" s="58" t="inlineStr">
        <is>
          <t>cheek_2</t>
        </is>
      </c>
      <c r="C9" s="58" t="n">
        <v>636.9</v>
      </c>
      <c r="D9" s="59" t="n">
        <v>1.724</v>
      </c>
      <c r="E9" s="59" t="n">
        <v>20.24</v>
      </c>
      <c r="F9" s="59" t="n">
        <v>0.3687</v>
      </c>
      <c r="G9" s="59" t="n">
        <v>5.22608557593078</v>
      </c>
      <c r="H9" s="59" t="n">
        <v>84.83</v>
      </c>
      <c r="I9" s="59" t="n">
        <v>469.9</v>
      </c>
      <c r="J9" s="59" t="n">
        <v>19.6</v>
      </c>
    </row>
    <row r="10" ht="15.75" customHeight="1">
      <c r="A10" s="62" t="n">
        <v>835</v>
      </c>
      <c r="B10" s="56" t="inlineStr">
        <is>
          <t>cheek_3</t>
        </is>
      </c>
      <c r="C10" s="56" t="n">
        <v>636.9</v>
      </c>
      <c r="D10" s="57" t="n">
        <v>2.566</v>
      </c>
      <c r="E10" s="57" t="n">
        <v>29.31</v>
      </c>
      <c r="F10" s="57" t="n">
        <v>0.7179</v>
      </c>
      <c r="G10" s="57" t="n">
        <v>6.62892581696748</v>
      </c>
      <c r="H10" s="57" t="n">
        <v>87.08</v>
      </c>
      <c r="I10" s="57" t="n">
        <v>698.3</v>
      </c>
      <c r="J10" s="57" t="n">
        <v>25.46</v>
      </c>
    </row>
    <row r="11" ht="15.75" customHeight="1">
      <c r="A11" s="61" t="n">
        <v>835</v>
      </c>
      <c r="B11" s="58" t="inlineStr">
        <is>
          <t>tilt_1</t>
        </is>
      </c>
      <c r="C11" s="58" t="n">
        <v>636.9</v>
      </c>
      <c r="D11" s="59" t="n">
        <v>1.639</v>
      </c>
      <c r="E11" s="59" t="n">
        <v>19.68</v>
      </c>
      <c r="F11" s="59" t="n">
        <v>0.2419</v>
      </c>
      <c r="G11" s="59" t="n">
        <v>5.64308426073132</v>
      </c>
      <c r="H11" s="59" t="n">
        <v>36.54</v>
      </c>
      <c r="I11" s="59" t="n">
        <v>503.6</v>
      </c>
      <c r="J11" s="59" t="n">
        <v>17.06</v>
      </c>
    </row>
    <row r="12" ht="15.75" customHeight="1">
      <c r="A12" s="62" t="n">
        <v>835</v>
      </c>
      <c r="B12" s="56" t="inlineStr">
        <is>
          <t>tilt_2</t>
        </is>
      </c>
      <c r="C12" s="56" t="n">
        <v>636.9</v>
      </c>
      <c r="D12" s="57" t="n">
        <v>1.485</v>
      </c>
      <c r="E12" s="57" t="n">
        <v>17.26</v>
      </c>
      <c r="F12" s="57" t="n">
        <v>0.3248</v>
      </c>
      <c r="G12" s="57" t="n">
        <v>4.8182902584493</v>
      </c>
      <c r="H12" s="57" t="n">
        <v>32.27</v>
      </c>
      <c r="I12" s="57" t="n">
        <v>193.8</v>
      </c>
      <c r="J12" s="57" t="n">
        <v>15.91</v>
      </c>
    </row>
    <row r="13" ht="15.75" customHeight="1" thickBot="1">
      <c r="A13" s="63" t="n">
        <v>835</v>
      </c>
      <c r="B13" s="8" t="inlineStr">
        <is>
          <t>tilt_3</t>
        </is>
      </c>
      <c r="C13" s="8" t="n">
        <v>636.9</v>
      </c>
      <c r="D13" s="12" t="n">
        <v>1.576</v>
      </c>
      <c r="E13" s="12" t="n">
        <v>19.56</v>
      </c>
      <c r="F13" s="12" t="n">
        <v>0.13</v>
      </c>
      <c r="G13" s="12" t="n">
        <v>5.81022013828181</v>
      </c>
      <c r="H13" s="12" t="n">
        <v>19.84</v>
      </c>
      <c r="I13" s="12" t="n">
        <v>550.1</v>
      </c>
      <c r="J13" s="12" t="n">
        <v>21.57</v>
      </c>
    </row>
    <row r="14" ht="15.75" customHeight="1">
      <c r="A14" s="60" t="n">
        <v>1450</v>
      </c>
      <c r="B14" s="5" t="inlineStr">
        <is>
          <t>cheek_1</t>
        </is>
      </c>
      <c r="C14" s="5" t="n">
        <v>131.7</v>
      </c>
      <c r="D14" s="9" t="n">
        <v>1.351</v>
      </c>
      <c r="E14" s="9" t="n">
        <v>17.28</v>
      </c>
      <c r="F14" s="9" t="n">
        <v>0.03677</v>
      </c>
      <c r="G14" s="9" t="n">
        <v>6.28500757998883</v>
      </c>
      <c r="H14" s="9" t="n">
        <v>89.61</v>
      </c>
      <c r="I14" s="9" t="n">
        <v>429.5</v>
      </c>
      <c r="J14" s="9" t="n">
        <v>18</v>
      </c>
    </row>
    <row r="15" ht="15.75" customHeight="1">
      <c r="A15" s="61" t="n">
        <v>1450</v>
      </c>
      <c r="B15" s="58" t="inlineStr">
        <is>
          <t>cheek_2</t>
        </is>
      </c>
      <c r="C15" s="58" t="n">
        <v>131.7</v>
      </c>
      <c r="D15" s="59" t="n">
        <v>1.14</v>
      </c>
      <c r="E15" s="59" t="n">
        <v>14.5</v>
      </c>
      <c r="F15" s="59" t="n">
        <v>0.04404</v>
      </c>
      <c r="G15" s="59" t="n">
        <v>5.47169208656073</v>
      </c>
      <c r="H15" s="59" t="n">
        <v>79.02</v>
      </c>
      <c r="I15" s="59" t="n">
        <v>365</v>
      </c>
      <c r="J15" s="59" t="n">
        <v>15.95</v>
      </c>
    </row>
    <row r="16" ht="15.75" customHeight="1">
      <c r="A16" s="62" t="n">
        <v>1450</v>
      </c>
      <c r="B16" s="56" t="inlineStr">
        <is>
          <t>cheek_3</t>
        </is>
      </c>
      <c r="C16" s="56" t="n">
        <v>131.7</v>
      </c>
      <c r="D16" s="57" t="n">
        <v>1.111</v>
      </c>
      <c r="E16" s="57" t="n">
        <v>14.11</v>
      </c>
      <c r="F16" s="57" t="n">
        <v>0.04192</v>
      </c>
      <c r="G16" s="57" t="n">
        <v>6.21452513966481</v>
      </c>
      <c r="H16" s="57" t="n">
        <v>105</v>
      </c>
      <c r="I16" s="57" t="n">
        <v>437.7</v>
      </c>
      <c r="J16" s="57" t="n">
        <v>22.11</v>
      </c>
    </row>
    <row r="17" ht="16.5" customHeight="1">
      <c r="A17" s="61" t="n">
        <v>1450</v>
      </c>
      <c r="B17" s="58" t="inlineStr">
        <is>
          <t>tilt_1</t>
        </is>
      </c>
      <c r="C17" s="58" t="n">
        <v>131.7</v>
      </c>
      <c r="D17" s="59" t="n">
        <v>0.4076</v>
      </c>
      <c r="E17" s="59" t="n">
        <v>5.216</v>
      </c>
      <c r="F17" s="59" t="n">
        <v>0.009969</v>
      </c>
      <c r="G17" s="59" t="n">
        <v>0.749656823623304</v>
      </c>
      <c r="H17" s="59" t="n">
        <v>9.460000000000001</v>
      </c>
      <c r="I17" s="59" t="n">
        <v>120.4</v>
      </c>
      <c r="J17" s="59" t="n">
        <v>2.755</v>
      </c>
    </row>
    <row r="18" ht="15.75" customHeight="1">
      <c r="A18" s="62" t="n">
        <v>1450</v>
      </c>
      <c r="B18" s="56" t="inlineStr">
        <is>
          <t>tilt_2</t>
        </is>
      </c>
      <c r="C18" s="56" t="n">
        <v>131.7</v>
      </c>
      <c r="D18" s="57" t="n">
        <v>0.1485</v>
      </c>
      <c r="E18" s="57" t="n">
        <v>1.917</v>
      </c>
      <c r="F18" s="57" t="n">
        <v>0.001156</v>
      </c>
      <c r="G18" s="57" t="n">
        <v>0.307712574850299</v>
      </c>
      <c r="H18" s="57" t="n">
        <v>0.769</v>
      </c>
      <c r="I18" s="57" t="n">
        <v>33.2</v>
      </c>
      <c r="J18" s="57" t="n">
        <v>1.02</v>
      </c>
    </row>
    <row r="19" ht="15.75" customHeight="1" thickBot="1">
      <c r="A19" s="63" t="n">
        <v>1450</v>
      </c>
      <c r="B19" s="8" t="inlineStr">
        <is>
          <t>tilt_3</t>
        </is>
      </c>
      <c r="C19" s="8" t="n">
        <v>131.7</v>
      </c>
      <c r="D19" s="12" t="n">
        <v>0.1529</v>
      </c>
      <c r="E19" s="12" t="n">
        <v>1.973</v>
      </c>
      <c r="F19" s="12" t="n">
        <v>0.001317</v>
      </c>
      <c r="G19" s="12" t="n">
        <v>0.3961842420372</v>
      </c>
      <c r="H19" s="12" t="n">
        <v>0.9539</v>
      </c>
      <c r="I19" s="12" t="n">
        <v>54.43</v>
      </c>
      <c r="J19" s="12" t="n">
        <v>1.567</v>
      </c>
    </row>
    <row r="20" ht="15.75" customHeight="1">
      <c r="A20" s="60" t="n">
        <v>2140</v>
      </c>
      <c r="B20" s="5" t="inlineStr">
        <is>
          <t>cheek_1</t>
        </is>
      </c>
      <c r="C20" s="5" t="n">
        <v>85.5</v>
      </c>
      <c r="D20" s="9" t="n">
        <v>1.042</v>
      </c>
      <c r="E20" s="9" t="n">
        <v>13.33</v>
      </c>
      <c r="F20" s="9" t="n">
        <v>0.02118</v>
      </c>
      <c r="G20" s="9" t="n">
        <v>4.38241161918442</v>
      </c>
      <c r="H20" s="9" t="n">
        <v>95.63</v>
      </c>
      <c r="I20" s="9" t="n">
        <v>654.3</v>
      </c>
      <c r="J20" s="9" t="n">
        <v>14.43</v>
      </c>
    </row>
    <row r="21" ht="15.75" customHeight="1">
      <c r="A21" s="61" t="n">
        <v>2140</v>
      </c>
      <c r="B21" s="58" t="inlineStr">
        <is>
          <t>cheek_2</t>
        </is>
      </c>
      <c r="C21" s="58" t="n">
        <v>85.5</v>
      </c>
      <c r="D21" s="59" t="n">
        <v>1.054</v>
      </c>
      <c r="E21" s="59" t="n">
        <v>13.33</v>
      </c>
      <c r="F21" s="59" t="n">
        <v>0.02917</v>
      </c>
      <c r="G21" s="59" t="n">
        <v>4.15988511249402</v>
      </c>
      <c r="H21" s="59" t="n">
        <v>101.4</v>
      </c>
      <c r="I21" s="59" t="n">
        <v>632.7</v>
      </c>
      <c r="J21" s="59" t="n">
        <v>13.19</v>
      </c>
    </row>
    <row r="22" ht="15.75" customHeight="1">
      <c r="A22" s="62" t="n">
        <v>2140</v>
      </c>
      <c r="B22" s="56" t="inlineStr">
        <is>
          <t>cheek_3</t>
        </is>
      </c>
      <c r="C22" s="56" t="n">
        <v>85.5</v>
      </c>
      <c r="D22" s="57" t="n">
        <v>1.064</v>
      </c>
      <c r="E22" s="57" t="n">
        <v>13.47</v>
      </c>
      <c r="F22" s="57" t="n">
        <v>0.04181</v>
      </c>
      <c r="G22" s="57" t="n">
        <v>3.59533881395163</v>
      </c>
      <c r="H22" s="57" t="n">
        <v>104.8</v>
      </c>
      <c r="I22" s="57" t="n">
        <v>664.4</v>
      </c>
      <c r="J22" s="57" t="n">
        <v>10.77</v>
      </c>
    </row>
    <row r="23" ht="15.75" customHeight="1">
      <c r="A23" s="61" t="n">
        <v>2140</v>
      </c>
      <c r="B23" s="58" t="inlineStr">
        <is>
          <t>tilt_1</t>
        </is>
      </c>
      <c r="C23" s="58" t="n">
        <v>85.5</v>
      </c>
      <c r="D23" s="59" t="n">
        <v>0.5792</v>
      </c>
      <c r="E23" s="59" t="n">
        <v>7.394</v>
      </c>
      <c r="F23" s="59" t="n">
        <v>0.01679</v>
      </c>
      <c r="G23" s="59" t="n">
        <v>2.06250498922328</v>
      </c>
      <c r="H23" s="59" t="n">
        <v>27.52</v>
      </c>
      <c r="I23" s="59" t="n">
        <v>408.2</v>
      </c>
      <c r="J23" s="59" t="n">
        <v>6.097</v>
      </c>
    </row>
    <row r="24" ht="15.75" customHeight="1">
      <c r="A24" s="62" t="n">
        <v>2140</v>
      </c>
      <c r="B24" s="56" t="inlineStr">
        <is>
          <t>tilt_2</t>
        </is>
      </c>
      <c r="C24" s="56" t="n">
        <v>85.5</v>
      </c>
      <c r="D24" s="57" t="n">
        <v>0.8891</v>
      </c>
      <c r="E24" s="57" t="n">
        <v>11.2</v>
      </c>
      <c r="F24" s="57" t="n">
        <v>0.05052</v>
      </c>
      <c r="G24" s="57" t="n">
        <v>3.20678371907422</v>
      </c>
      <c r="H24" s="57" t="n">
        <v>41.97</v>
      </c>
      <c r="I24" s="57" t="n">
        <v>569.1</v>
      </c>
      <c r="J24" s="57" t="n">
        <v>8.673999999999999</v>
      </c>
    </row>
    <row r="25" ht="16.5" customHeight="1" thickBot="1">
      <c r="A25" s="63" t="n">
        <v>2140</v>
      </c>
      <c r="B25" s="8" t="inlineStr">
        <is>
          <t>tilt_3</t>
        </is>
      </c>
      <c r="C25" s="8" t="n">
        <v>85.5</v>
      </c>
      <c r="D25" s="12" t="n">
        <v>0.9665</v>
      </c>
      <c r="E25" s="12" t="n">
        <v>12.1</v>
      </c>
      <c r="F25" s="12" t="n">
        <v>0.06847</v>
      </c>
      <c r="G25" s="12" t="n">
        <v>3.25</v>
      </c>
      <c r="H25" s="12" t="n">
        <v>39.81</v>
      </c>
      <c r="I25" s="12" t="n">
        <v>571.1</v>
      </c>
      <c r="J25" s="12" t="n">
        <v>8.835000000000001</v>
      </c>
    </row>
    <row r="26" ht="15.75" customHeight="1">
      <c r="A26" s="60" t="n">
        <v>2450</v>
      </c>
      <c r="B26" s="5" t="inlineStr">
        <is>
          <t>cheek_1</t>
        </is>
      </c>
      <c r="C26" s="5" t="n">
        <v>72.5</v>
      </c>
      <c r="D26" s="9" t="n">
        <v>0.8802</v>
      </c>
      <c r="E26" s="9" t="n">
        <v>11.28</v>
      </c>
      <c r="F26" s="9" t="n">
        <v>0.01755</v>
      </c>
      <c r="G26" s="9" t="n">
        <v>2.98037651563497</v>
      </c>
      <c r="H26" s="9" t="n">
        <v>63.43</v>
      </c>
      <c r="I26" s="9" t="n">
        <v>690.1</v>
      </c>
      <c r="J26" s="9" t="n">
        <v>8.456</v>
      </c>
    </row>
    <row r="27" ht="15.75" customHeight="1">
      <c r="A27" s="61" t="n">
        <v>2450</v>
      </c>
      <c r="B27" s="58" t="inlineStr">
        <is>
          <t>cheek_2</t>
        </is>
      </c>
      <c r="C27" s="58" t="n">
        <v>72.5</v>
      </c>
      <c r="D27" s="59" t="n">
        <v>0.859</v>
      </c>
      <c r="E27" s="59" t="n">
        <v>10.93</v>
      </c>
      <c r="F27" s="59" t="n">
        <v>0.02664</v>
      </c>
      <c r="G27" s="59" t="n">
        <v>2.71543806405239</v>
      </c>
      <c r="H27" s="59" t="n">
        <v>64.48999999999999</v>
      </c>
      <c r="I27" s="59" t="n">
        <v>625.9</v>
      </c>
      <c r="J27" s="59" t="n">
        <v>7.664</v>
      </c>
    </row>
    <row r="28" ht="15.75" customHeight="1">
      <c r="A28" s="62" t="n">
        <v>2450</v>
      </c>
      <c r="B28" s="56" t="inlineStr">
        <is>
          <t>cheek_3</t>
        </is>
      </c>
      <c r="C28" s="56" t="n">
        <v>72.5</v>
      </c>
      <c r="D28" s="57" t="n">
        <v>0.852</v>
      </c>
      <c r="E28" s="57" t="n">
        <v>10.74</v>
      </c>
      <c r="F28" s="57" t="n">
        <v>0.04093</v>
      </c>
      <c r="G28" s="57" t="n">
        <v>2.28070203430395</v>
      </c>
      <c r="H28" s="57" t="n">
        <v>51.93</v>
      </c>
      <c r="I28" s="57" t="n">
        <v>525.9</v>
      </c>
      <c r="J28" s="57" t="n">
        <v>6.148</v>
      </c>
    </row>
    <row r="29" ht="15.75" customHeight="1">
      <c r="A29" s="61" t="n">
        <v>2450</v>
      </c>
      <c r="B29" s="58" t="inlineStr">
        <is>
          <t>tilt_1</t>
        </is>
      </c>
      <c r="C29" s="58" t="n">
        <v>72.5</v>
      </c>
      <c r="D29" s="59" t="n">
        <v>0.3605</v>
      </c>
      <c r="E29" s="59" t="n">
        <v>4.609</v>
      </c>
      <c r="F29" s="59" t="n">
        <v>0.02582</v>
      </c>
      <c r="G29" s="59" t="n">
        <v>1.00272944932163</v>
      </c>
      <c r="H29" s="59" t="n">
        <v>10.3</v>
      </c>
      <c r="I29" s="59" t="n">
        <v>289.1</v>
      </c>
      <c r="J29" s="59" t="n">
        <v>2.481</v>
      </c>
    </row>
    <row r="30" ht="15.75" customHeight="1">
      <c r="A30" s="62" t="n">
        <v>2450</v>
      </c>
      <c r="B30" s="56" t="inlineStr">
        <is>
          <t>tilt_2</t>
        </is>
      </c>
      <c r="C30" s="56" t="n">
        <v>72.5</v>
      </c>
      <c r="D30" s="57" t="n">
        <v>0.5907</v>
      </c>
      <c r="E30" s="57" t="n">
        <v>7.469</v>
      </c>
      <c r="F30" s="57" t="n">
        <v>0.03094</v>
      </c>
      <c r="G30" s="57" t="n">
        <v>1.69706304868316</v>
      </c>
      <c r="H30" s="57" t="n">
        <v>18.35</v>
      </c>
      <c r="I30" s="57" t="n">
        <v>481.2</v>
      </c>
      <c r="J30" s="57" t="n">
        <v>3.968</v>
      </c>
    </row>
    <row r="31" ht="15.75" customHeight="1" thickBot="1">
      <c r="A31" s="63" t="n">
        <v>2450</v>
      </c>
      <c r="B31" s="8" t="inlineStr">
        <is>
          <t>tilt_3</t>
        </is>
      </c>
      <c r="C31" s="8" t="n">
        <v>72.5</v>
      </c>
      <c r="D31" s="12" t="n">
        <v>0.7499</v>
      </c>
      <c r="E31" s="12" t="n">
        <v>9.324</v>
      </c>
      <c r="F31" s="12" t="n">
        <v>0.0688</v>
      </c>
      <c r="G31" s="12" t="n">
        <v>2.14832402234637</v>
      </c>
      <c r="H31" s="12" t="n">
        <v>18.55</v>
      </c>
      <c r="I31" s="12" t="n">
        <v>560.5</v>
      </c>
      <c r="J31" s="12" t="n">
        <v>5.326</v>
      </c>
    </row>
    <row r="32" ht="15.75" customHeight="1">
      <c r="A32" s="60" t="n">
        <v>3500</v>
      </c>
      <c r="B32" s="5" t="inlineStr">
        <is>
          <t>cheek_1</t>
        </is>
      </c>
      <c r="C32" s="5" t="n">
        <v>58</v>
      </c>
      <c r="D32" s="9" t="n">
        <v>0.6482</v>
      </c>
      <c r="E32" s="9" t="n">
        <v>8.255000000000001</v>
      </c>
      <c r="F32" s="9" t="n">
        <v>0.01333</v>
      </c>
      <c r="G32" s="9" t="n">
        <v>0.740154840769415</v>
      </c>
      <c r="H32" s="9" t="n">
        <v>68.28</v>
      </c>
      <c r="I32" s="9" t="n">
        <v>464.2</v>
      </c>
      <c r="J32" s="9" t="n">
        <v>0.6449</v>
      </c>
    </row>
    <row r="33" ht="16.5" customHeight="1">
      <c r="A33" s="61" t="n">
        <v>3500</v>
      </c>
      <c r="B33" s="58" t="inlineStr">
        <is>
          <t>cheek_2</t>
        </is>
      </c>
      <c r="C33" s="58" t="n">
        <v>58</v>
      </c>
      <c r="D33" s="59" t="n">
        <v>0.6014</v>
      </c>
      <c r="E33" s="59" t="n">
        <v>7.56</v>
      </c>
      <c r="F33" s="59" t="n">
        <v>0.02477</v>
      </c>
      <c r="G33" s="59" t="n">
        <v>0.649581105880476</v>
      </c>
      <c r="H33" s="59" t="n">
        <v>56.86</v>
      </c>
      <c r="I33" s="59" t="n">
        <v>343.7</v>
      </c>
      <c r="J33" s="59" t="n">
        <v>0.5397999999999999</v>
      </c>
    </row>
    <row r="34" ht="15.75" customHeight="1">
      <c r="A34" s="62" t="n">
        <v>3500</v>
      </c>
      <c r="B34" s="56" t="inlineStr">
        <is>
          <t>cheek_3</t>
        </is>
      </c>
      <c r="C34" s="56" t="n">
        <v>58</v>
      </c>
      <c r="D34" s="57" t="n">
        <v>0.5556</v>
      </c>
      <c r="E34" s="57" t="n">
        <v>6.86</v>
      </c>
      <c r="F34" s="57" t="n">
        <v>0.04617</v>
      </c>
      <c r="G34" s="57" t="n">
        <v>0.570878901572603</v>
      </c>
      <c r="H34" s="57" t="n">
        <v>32.33</v>
      </c>
      <c r="I34" s="57" t="n">
        <v>270.8</v>
      </c>
      <c r="J34" s="57" t="n">
        <v>0.4913</v>
      </c>
    </row>
    <row r="35" ht="15.75" customHeight="1">
      <c r="A35" s="61" t="n">
        <v>3500</v>
      </c>
      <c r="B35" s="58" t="inlineStr">
        <is>
          <t>tilt_1</t>
        </is>
      </c>
      <c r="C35" s="58" t="n">
        <v>58</v>
      </c>
      <c r="D35" s="59" t="n">
        <v>0.2171</v>
      </c>
      <c r="E35" s="59" t="n">
        <v>2.791</v>
      </c>
      <c r="F35" s="59" t="n">
        <v>0.00267</v>
      </c>
      <c r="G35" s="59" t="n">
        <v>0.236674914199058</v>
      </c>
      <c r="H35" s="59" t="n">
        <v>5.114</v>
      </c>
      <c r="I35" s="59" t="n">
        <v>208.9</v>
      </c>
      <c r="J35" s="59" t="n">
        <v>0.1724</v>
      </c>
    </row>
    <row r="36" ht="15.75" customHeight="1">
      <c r="A36" s="62" t="n">
        <v>3500</v>
      </c>
      <c r="B36" s="56" t="inlineStr">
        <is>
          <t>tilt_2</t>
        </is>
      </c>
      <c r="C36" s="56" t="n">
        <v>58</v>
      </c>
      <c r="D36" s="57" t="n">
        <v>0.4819</v>
      </c>
      <c r="E36" s="57" t="n">
        <v>6.13</v>
      </c>
      <c r="F36" s="57" t="n">
        <v>0.01549</v>
      </c>
      <c r="G36" s="57" t="n">
        <v>0.546876246708689</v>
      </c>
      <c r="H36" s="57" t="n">
        <v>17.76</v>
      </c>
      <c r="I36" s="57" t="n">
        <v>406.4</v>
      </c>
      <c r="J36" s="57" t="n">
        <v>0.4435</v>
      </c>
    </row>
    <row r="37" ht="15.75" customHeight="1" thickBot="1">
      <c r="A37" s="63" t="n">
        <v>3500</v>
      </c>
      <c r="B37" s="8" t="inlineStr">
        <is>
          <t>tilt_3</t>
        </is>
      </c>
      <c r="C37" s="8" t="n">
        <v>58</v>
      </c>
      <c r="D37" s="12" t="n">
        <v>0.5182</v>
      </c>
      <c r="E37" s="12" t="n">
        <v>6.317</v>
      </c>
      <c r="F37" s="12" t="n">
        <v>0.05968</v>
      </c>
      <c r="G37" s="12" t="n">
        <v>0.608362591765082</v>
      </c>
      <c r="H37" s="12" t="n">
        <v>15.25</v>
      </c>
      <c r="I37" s="12" t="n">
        <v>336.2</v>
      </c>
      <c r="J37" s="12" t="n">
        <v>0.5574</v>
      </c>
    </row>
    <row r="38" ht="15.75" customHeight="1">
      <c r="A38" s="60" t="n">
        <v>5200</v>
      </c>
      <c r="B38" s="5" t="inlineStr">
        <is>
          <t>cheek_1</t>
        </is>
      </c>
      <c r="C38" s="5" t="n">
        <v>64.5</v>
      </c>
      <c r="D38" s="9" t="n">
        <v>0.5609</v>
      </c>
      <c r="E38" s="9" t="n">
        <v>7.097</v>
      </c>
      <c r="F38" s="9" t="n">
        <v>0.02001</v>
      </c>
      <c r="G38" s="9" t="n">
        <v>0.15448097023857</v>
      </c>
      <c r="H38" s="9" t="n">
        <v>42.31</v>
      </c>
      <c r="I38" s="9" t="n">
        <v>392.8</v>
      </c>
      <c r="J38" s="9" t="n">
        <v>0.005093</v>
      </c>
    </row>
    <row r="39" ht="15.75" customHeight="1">
      <c r="A39" s="61" t="n">
        <v>5200</v>
      </c>
      <c r="B39" s="58" t="inlineStr">
        <is>
          <t>cheek_2</t>
        </is>
      </c>
      <c r="C39" s="58" t="n">
        <v>64.5</v>
      </c>
      <c r="D39" s="59" t="n">
        <v>0.4722</v>
      </c>
      <c r="E39" s="59" t="n">
        <v>5.922</v>
      </c>
      <c r="F39" s="59" t="n">
        <v>0.02266</v>
      </c>
      <c r="G39" s="59" t="n">
        <v>0.154148623853211</v>
      </c>
      <c r="H39" s="59" t="n">
        <v>34.76</v>
      </c>
      <c r="I39" s="59" t="n">
        <v>276.4</v>
      </c>
      <c r="J39" s="59" t="n">
        <v>0.005065</v>
      </c>
    </row>
    <row r="40" ht="15.75" customHeight="1">
      <c r="A40" s="62" t="n">
        <v>5200</v>
      </c>
      <c r="B40" s="56" t="inlineStr">
        <is>
          <t>cheek_3</t>
        </is>
      </c>
      <c r="C40" s="56" t="n">
        <v>64.5</v>
      </c>
      <c r="D40" s="57" t="n">
        <v>0.4035</v>
      </c>
      <c r="E40" s="57" t="n">
        <v>4.936</v>
      </c>
      <c r="F40" s="57" t="n">
        <v>0.04036</v>
      </c>
      <c r="G40" s="57" t="n">
        <v>0.141756864623244</v>
      </c>
      <c r="H40" s="57" t="n">
        <v>22.08</v>
      </c>
      <c r="I40" s="57" t="n">
        <v>212.8</v>
      </c>
      <c r="J40" s="57" t="n">
        <v>0.0047</v>
      </c>
    </row>
    <row r="41" ht="16.5" customHeight="1">
      <c r="A41" s="61" t="n">
        <v>5200</v>
      </c>
      <c r="B41" s="58" t="inlineStr">
        <is>
          <t>tilt_1</t>
        </is>
      </c>
      <c r="C41" s="58" t="n">
        <v>64.5</v>
      </c>
      <c r="D41" s="59" t="n">
        <v>0.1872</v>
      </c>
      <c r="E41" s="59" t="n">
        <v>2.386</v>
      </c>
      <c r="F41" s="59" t="n">
        <v>0.005219</v>
      </c>
      <c r="G41" s="59" t="n">
        <v>0.0241506423043166</v>
      </c>
      <c r="H41" s="59" t="n">
        <v>0.6865</v>
      </c>
      <c r="I41" s="59" t="n">
        <v>157.3</v>
      </c>
      <c r="J41" s="59" t="n">
        <v>0.0007021</v>
      </c>
    </row>
    <row r="42" ht="15.75" customHeight="1">
      <c r="A42" s="62" t="n">
        <v>5200</v>
      </c>
      <c r="B42" s="56" t="inlineStr">
        <is>
          <t>tilt_2</t>
        </is>
      </c>
      <c r="C42" s="56" t="n">
        <v>64.5</v>
      </c>
      <c r="D42" s="57" t="n">
        <v>0.4273</v>
      </c>
      <c r="E42" s="57" t="n">
        <v>5.376</v>
      </c>
      <c r="F42" s="57" t="n">
        <v>0.02082</v>
      </c>
      <c r="G42" s="57" t="n">
        <v>0.122194382381104</v>
      </c>
      <c r="H42" s="57" t="n">
        <v>9.317</v>
      </c>
      <c r="I42" s="57" t="n">
        <v>387.6</v>
      </c>
      <c r="J42" s="57" t="n">
        <v>0.002986</v>
      </c>
    </row>
    <row r="43" ht="15.75" customHeight="1" thickBot="1">
      <c r="A43" s="63" t="n">
        <v>5200</v>
      </c>
      <c r="B43" s="8" t="inlineStr">
        <is>
          <t>tilt_3</t>
        </is>
      </c>
      <c r="C43" s="8" t="n">
        <v>64.5</v>
      </c>
      <c r="D43" s="12" t="n">
        <v>0.3668</v>
      </c>
      <c r="E43" s="12" t="n">
        <v>4.474</v>
      </c>
      <c r="F43" s="12" t="n">
        <v>0.03986</v>
      </c>
      <c r="G43" s="12" t="n">
        <v>0.119135503950204</v>
      </c>
      <c r="H43" s="12" t="n">
        <v>7.684</v>
      </c>
      <c r="I43" s="12" t="n">
        <v>316.5</v>
      </c>
      <c r="J43" s="12" t="n">
        <v>0.00302</v>
      </c>
    </row>
    <row r="44" ht="15.75" customHeight="1">
      <c r="A44" s="60" t="n">
        <v>5800</v>
      </c>
      <c r="B44" s="5" t="inlineStr">
        <is>
          <t>cheek_1</t>
        </is>
      </c>
      <c r="C44" s="5" t="n">
        <v>64.90000000000001</v>
      </c>
      <c r="D44" s="9" t="n">
        <v>0.5417</v>
      </c>
      <c r="E44" s="9" t="n">
        <v>6.836</v>
      </c>
      <c r="F44" s="9" t="n">
        <v>0.02378</v>
      </c>
      <c r="G44" s="9" t="n">
        <v>0.082507183908046</v>
      </c>
      <c r="H44" s="9" t="n">
        <v>39.25</v>
      </c>
      <c r="I44" s="9" t="n">
        <v>331.6</v>
      </c>
      <c r="J44" s="9" t="n">
        <v>0.0006214</v>
      </c>
    </row>
    <row r="45" ht="15.75" customHeight="1">
      <c r="A45" s="61" t="n">
        <v>5800</v>
      </c>
      <c r="B45" s="58" t="inlineStr">
        <is>
          <t>cheek_2</t>
        </is>
      </c>
      <c r="C45" s="58" t="n">
        <v>64.90000000000001</v>
      </c>
      <c r="D45" s="59" t="n">
        <v>0.4502</v>
      </c>
      <c r="E45" s="59" t="n">
        <v>5.626</v>
      </c>
      <c r="F45" s="59" t="n">
        <v>0.02634</v>
      </c>
      <c r="G45" s="59" t="n">
        <v>0.0795387869114126</v>
      </c>
      <c r="H45" s="59" t="n">
        <v>26.65</v>
      </c>
      <c r="I45" s="59" t="n">
        <v>242.1</v>
      </c>
      <c r="J45" s="59" t="n">
        <v>0.000575</v>
      </c>
    </row>
    <row r="46" ht="15.75" customHeight="1">
      <c r="A46" s="62" t="n">
        <v>5800</v>
      </c>
      <c r="B46" s="56" t="inlineStr">
        <is>
          <t>cheek_3</t>
        </is>
      </c>
      <c r="C46" s="56" t="n">
        <v>64.90000000000001</v>
      </c>
      <c r="D46" s="57" t="n">
        <v>0.3875</v>
      </c>
      <c r="E46" s="57" t="n">
        <v>4.757</v>
      </c>
      <c r="F46" s="57" t="n">
        <v>0.03617</v>
      </c>
      <c r="G46" s="57" t="n">
        <v>0.0748594011976048</v>
      </c>
      <c r="H46" s="57" t="n">
        <v>20.39</v>
      </c>
      <c r="I46" s="57" t="n">
        <v>204</v>
      </c>
      <c r="J46" s="57" t="n">
        <v>0.0005736</v>
      </c>
    </row>
    <row r="47" ht="15.75" customHeight="1">
      <c r="A47" s="61" t="n">
        <v>5800</v>
      </c>
      <c r="B47" s="58" t="inlineStr">
        <is>
          <t>tilt_1</t>
        </is>
      </c>
      <c r="C47" s="58" t="n">
        <v>64.90000000000001</v>
      </c>
      <c r="D47" s="59" t="n">
        <v>0.2314</v>
      </c>
      <c r="E47" s="59" t="n">
        <v>2.969</v>
      </c>
      <c r="F47" s="59" t="n">
        <v>0.003698</v>
      </c>
      <c r="G47" s="59" t="n">
        <v>0.00572931268460126</v>
      </c>
      <c r="H47" s="59" t="n">
        <v>0.1507</v>
      </c>
      <c r="I47" s="59" t="n">
        <v>118.1</v>
      </c>
      <c r="J47" s="59" t="n">
        <v>4.456e-05</v>
      </c>
    </row>
    <row r="48" ht="15.75" customHeight="1">
      <c r="A48" s="62" t="n">
        <v>5800</v>
      </c>
      <c r="B48" s="56" t="inlineStr">
        <is>
          <t>tilt_2</t>
        </is>
      </c>
      <c r="C48" s="56" t="n">
        <v>64.90000000000001</v>
      </c>
      <c r="D48" s="57" t="n">
        <v>0.4173</v>
      </c>
      <c r="E48" s="57" t="n">
        <v>5.246</v>
      </c>
      <c r="F48" s="57" t="n">
        <v>0.0215</v>
      </c>
      <c r="G48" s="57" t="n">
        <v>0.0506643786415516</v>
      </c>
      <c r="H48" s="57" t="n">
        <v>7.208</v>
      </c>
      <c r="I48" s="57" t="n">
        <v>359.4</v>
      </c>
      <c r="J48" s="57" t="n">
        <v>0.0001968</v>
      </c>
    </row>
    <row r="49" ht="16.5" customHeight="1" thickBot="1">
      <c r="A49" s="63" t="n">
        <v>5800</v>
      </c>
      <c r="B49" s="8" t="inlineStr">
        <is>
          <t>tilt_3</t>
        </is>
      </c>
      <c r="C49" s="8" t="n">
        <v>64.90000000000001</v>
      </c>
      <c r="D49" s="12" t="n">
        <v>0.3542</v>
      </c>
      <c r="E49" s="12" t="n">
        <v>4.354</v>
      </c>
      <c r="F49" s="12" t="n">
        <v>0.03322</v>
      </c>
      <c r="G49" s="12" t="n">
        <v>0.00796224457215837</v>
      </c>
      <c r="H49" s="12" t="n">
        <v>5.554</v>
      </c>
      <c r="I49" s="12" t="n">
        <v>299.9</v>
      </c>
      <c r="J49" s="12" t="n">
        <v>0.0001948</v>
      </c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zoomScale="89" zoomScaleNormal="248" workbookViewId="0">
      <selection activeCell="N25" sqref="N25"/>
    </sheetView>
  </sheetViews>
  <sheetFormatPr baseColWidth="10" defaultColWidth="8.6640625" defaultRowHeight="15"/>
  <cols>
    <col width="12.6640625" bestFit="1" customWidth="1" min="1" max="1"/>
    <col width="9.33203125" bestFit="1" customWidth="1" min="2" max="2"/>
    <col width="13.5" bestFit="1" customWidth="1" min="3" max="3"/>
    <col width="20" bestFit="1" customWidth="1" min="4" max="4"/>
    <col width="15.5" bestFit="1" customWidth="1" min="5" max="6"/>
    <col width="21.6640625" bestFit="1" customWidth="1" min="7" max="7"/>
    <col width="20" bestFit="1" customWidth="1" min="8" max="8"/>
    <col width="19.33203125" bestFit="1" customWidth="1" min="9" max="9"/>
    <col width="20" bestFit="1" customWidth="1" min="10" max="10"/>
  </cols>
  <sheetData>
    <row r="1" ht="16.5" customHeight="1">
      <c r="A1" s="3" t="inlineStr">
        <is>
          <t>frequency_MHz</t>
        </is>
      </c>
      <c r="B1" s="3" t="inlineStr">
        <is>
          <t>placement</t>
        </is>
      </c>
      <c r="C1" s="4" t="inlineStr">
        <is>
          <t>Input Power  (W)</t>
        </is>
      </c>
      <c r="D1" s="4" t="inlineStr">
        <is>
          <t>SAR_wholebody (mW/kg)</t>
        </is>
      </c>
      <c r="E1" s="4" t="inlineStr">
        <is>
          <t>SAR_head (mW/kg)</t>
        </is>
      </c>
      <c r="F1" s="4" t="inlineStr">
        <is>
          <t>SAR_trunk (mW/kg)</t>
        </is>
      </c>
      <c r="G1" s="4" t="inlineStr">
        <is>
          <t>SAR averagedbrain(mW/kg)</t>
        </is>
      </c>
      <c r="H1" s="4" t="inlineStr">
        <is>
          <t>psSAR10g_eyes  (mW/kg)</t>
        </is>
      </c>
      <c r="I1" s="4" t="inlineStr">
        <is>
          <t>psSAR10g_skin (mW/kg)</t>
        </is>
      </c>
      <c r="J1" s="4" t="inlineStr">
        <is>
          <t>psSAR10g_brain (mW/kg)</t>
        </is>
      </c>
    </row>
    <row r="2" ht="14.25" customHeight="1">
      <c r="A2" s="5" t="n">
        <v>700</v>
      </c>
      <c r="B2" s="5" t="inlineStr">
        <is>
          <t>cheek_1</t>
        </is>
      </c>
      <c r="C2" s="5" t="n">
        <v>1</v>
      </c>
      <c r="D2" s="9">
        <f>Tabella5[[#This Row],[SAR_wholebody (mW/kg)]]*10^3/Tabella5[[#This Row],[Input Power  (mW)]]</f>
        <v/>
      </c>
      <c r="E2" s="9">
        <f>Tabella5[[#This Row],[SAR_head (mW/kg)]]*10^3/Tabella5[[#This Row],[Input Power  (mW)]]</f>
        <v/>
      </c>
      <c r="F2" s="9">
        <f>Tabella5[[#This Row],[SAR_trunk (mW/kg)]]*10^3/Tabella5[[#This Row],[Input Power  (mW)]]</f>
        <v/>
      </c>
      <c r="G2" s="9">
        <f>Tabella5[[#This Row],[SAR averagedbrain(mW/kg)]]*10^3/Tabella5[[#This Row],[Input Power  (mW)]]</f>
        <v/>
      </c>
      <c r="H2" s="9">
        <f>Tabella5[[#This Row],[psSAR10g_eyes  (mW/kg)]]*10^3/Tabella5[[#This Row],[Input Power  (mW)]]</f>
        <v/>
      </c>
      <c r="I2" s="9">
        <f>Tabella5[[#This Row],[psSAR10g_skin (mW/kg)]]*10^3/Tabella5[[#This Row],[Input Power  (mW)]]</f>
        <v/>
      </c>
      <c r="J2" s="9">
        <f>Tabella5[[#This Row],[psSAR10g_brain (mW/kg)]]*10^3/Tabella5[[#This Row],[Input Power  (mW)]]</f>
        <v/>
      </c>
    </row>
    <row r="3" ht="15.75" customHeight="1">
      <c r="A3" s="58" t="n">
        <v>700</v>
      </c>
      <c r="B3" s="58" t="inlineStr">
        <is>
          <t>cheek_2</t>
        </is>
      </c>
      <c r="C3" s="58" t="n">
        <v>1</v>
      </c>
      <c r="D3" s="59">
        <f>Tabella5[[#This Row],[SAR_wholebody (mW/kg)]]*10^3/Tabella5[[#This Row],[Input Power  (mW)]]</f>
        <v/>
      </c>
      <c r="E3" s="59">
        <f>Tabella5[[#This Row],[SAR_head (mW/kg)]]*10^3/Tabella5[[#This Row],[Input Power  (mW)]]</f>
        <v/>
      </c>
      <c r="F3" s="59">
        <f>Tabella5[[#This Row],[SAR_trunk (mW/kg)]]*10^3/Tabella5[[#This Row],[Input Power  (mW)]]</f>
        <v/>
      </c>
      <c r="G3" s="59">
        <f>Tabella5[[#This Row],[SAR averagedbrain(mW/kg)]]*10^3/Tabella5[[#This Row],[Input Power  (mW)]]</f>
        <v/>
      </c>
      <c r="H3" s="59">
        <f>Tabella5[[#This Row],[psSAR10g_eyes  (mW/kg)]]*10^3/Tabella5[[#This Row],[Input Power  (mW)]]</f>
        <v/>
      </c>
      <c r="I3" s="59">
        <f>Tabella5[[#This Row],[psSAR10g_skin (mW/kg)]]*10^3/Tabella5[[#This Row],[Input Power  (mW)]]</f>
        <v/>
      </c>
      <c r="J3" s="59">
        <f>Tabella5[[#This Row],[psSAR10g_brain (mW/kg)]]*10^3/Tabella5[[#This Row],[Input Power  (mW)]]</f>
        <v/>
      </c>
    </row>
    <row r="4" ht="15.75" customHeight="1">
      <c r="A4" s="56" t="n">
        <v>700</v>
      </c>
      <c r="B4" s="56" t="inlineStr">
        <is>
          <t>cheek_3</t>
        </is>
      </c>
      <c r="C4" s="56" t="n">
        <v>1</v>
      </c>
      <c r="D4" s="57">
        <f>Tabella5[[#This Row],[SAR_wholebody (mW/kg)]]*10^3/Tabella5[[#This Row],[Input Power  (mW)]]</f>
        <v/>
      </c>
      <c r="E4" s="57">
        <f>Tabella5[[#This Row],[SAR_head (mW/kg)]]*10^3/Tabella5[[#This Row],[Input Power  (mW)]]</f>
        <v/>
      </c>
      <c r="F4" s="57">
        <f>Tabella5[[#This Row],[SAR_trunk (mW/kg)]]*10^3/Tabella5[[#This Row],[Input Power  (mW)]]</f>
        <v/>
      </c>
      <c r="G4" s="57">
        <f>Tabella5[[#This Row],[SAR averagedbrain(mW/kg)]]*10^3/Tabella5[[#This Row],[Input Power  (mW)]]</f>
        <v/>
      </c>
      <c r="H4" s="57">
        <f>Tabella5[[#This Row],[psSAR10g_eyes  (mW/kg)]]*10^3/Tabella5[[#This Row],[Input Power  (mW)]]</f>
        <v/>
      </c>
      <c r="I4" s="57">
        <f>Tabella5[[#This Row],[psSAR10g_skin (mW/kg)]]*10^3/Tabella5[[#This Row],[Input Power  (mW)]]</f>
        <v/>
      </c>
      <c r="J4" s="57">
        <f>Tabella5[[#This Row],[psSAR10g_brain (mW/kg)]]*10^3/Tabella5[[#This Row],[Input Power  (mW)]]</f>
        <v/>
      </c>
    </row>
    <row r="5" ht="15.75" customHeight="1">
      <c r="A5" s="58" t="n">
        <v>700</v>
      </c>
      <c r="B5" s="58" t="inlineStr">
        <is>
          <t>tilt_1</t>
        </is>
      </c>
      <c r="C5" s="58" t="n">
        <v>1</v>
      </c>
      <c r="D5" s="59">
        <f>Tabella5[[#This Row],[SAR_wholebody (mW/kg)]]*10^3/Tabella5[[#This Row],[Input Power  (mW)]]</f>
        <v/>
      </c>
      <c r="E5" s="59">
        <f>Tabella5[[#This Row],[SAR_head (mW/kg)]]*10^3/Tabella5[[#This Row],[Input Power  (mW)]]</f>
        <v/>
      </c>
      <c r="F5" s="59">
        <f>Tabella5[[#This Row],[SAR_trunk (mW/kg)]]*10^3/Tabella5[[#This Row],[Input Power  (mW)]]</f>
        <v/>
      </c>
      <c r="G5" s="59">
        <f>Tabella5[[#This Row],[SAR averagedbrain(mW/kg)]]*10^3/Tabella5[[#This Row],[Input Power  (mW)]]</f>
        <v/>
      </c>
      <c r="H5" s="59">
        <f>Tabella5[[#This Row],[psSAR10g_eyes  (mW/kg)]]*10^3/Tabella5[[#This Row],[Input Power  (mW)]]</f>
        <v/>
      </c>
      <c r="I5" s="59">
        <f>Tabella5[[#This Row],[psSAR10g_skin (mW/kg)]]*10^3/Tabella5[[#This Row],[Input Power  (mW)]]</f>
        <v/>
      </c>
      <c r="J5" s="59">
        <f>Tabella5[[#This Row],[psSAR10g_brain (mW/kg)]]*10^3/Tabella5[[#This Row],[Input Power  (mW)]]</f>
        <v/>
      </c>
    </row>
    <row r="6" ht="15.75" customHeight="1">
      <c r="A6" s="56" t="n">
        <v>700</v>
      </c>
      <c r="B6" s="56" t="inlineStr">
        <is>
          <t>tilt_2</t>
        </is>
      </c>
      <c r="C6" s="56" t="n">
        <v>1</v>
      </c>
      <c r="D6" s="57">
        <f>Tabella5[[#This Row],[SAR_wholebody (mW/kg)]]*10^3/Tabella5[[#This Row],[Input Power  (mW)]]</f>
        <v/>
      </c>
      <c r="E6" s="57">
        <f>Tabella5[[#This Row],[SAR_head (mW/kg)]]*10^3/Tabella5[[#This Row],[Input Power  (mW)]]</f>
        <v/>
      </c>
      <c r="F6" s="57">
        <f>Tabella5[[#This Row],[SAR_trunk (mW/kg)]]*10^3/Tabella5[[#This Row],[Input Power  (mW)]]</f>
        <v/>
      </c>
      <c r="G6" s="57">
        <f>Tabella5[[#This Row],[SAR averagedbrain(mW/kg)]]*10^3/Tabella5[[#This Row],[Input Power  (mW)]]</f>
        <v/>
      </c>
      <c r="H6" s="57">
        <f>Tabella5[[#This Row],[psSAR10g_eyes  (mW/kg)]]*10^3/Tabella5[[#This Row],[Input Power  (mW)]]</f>
        <v/>
      </c>
      <c r="I6" s="57">
        <f>Tabella5[[#This Row],[psSAR10g_skin (mW/kg)]]*10^3/Tabella5[[#This Row],[Input Power  (mW)]]</f>
        <v/>
      </c>
      <c r="J6" s="57">
        <f>Tabella5[[#This Row],[psSAR10g_brain (mW/kg)]]*10^3/Tabella5[[#This Row],[Input Power  (mW)]]</f>
        <v/>
      </c>
    </row>
    <row r="7" ht="15.75" customHeight="1">
      <c r="A7" s="58" t="n">
        <v>700</v>
      </c>
      <c r="B7" s="58" t="inlineStr">
        <is>
          <t>tilt_3</t>
        </is>
      </c>
      <c r="C7" s="58" t="n">
        <v>1</v>
      </c>
      <c r="D7" s="59">
        <f>Tabella5[[#This Row],[SAR_wholebody (mW/kg)]]*10^3/Tabella5[[#This Row],[Input Power  (mW)]]</f>
        <v/>
      </c>
      <c r="E7" s="59">
        <f>Tabella5[[#This Row],[SAR_head (mW/kg)]]*10^3/Tabella5[[#This Row],[Input Power  (mW)]]</f>
        <v/>
      </c>
      <c r="F7" s="59">
        <f>Tabella5[[#This Row],[SAR_trunk (mW/kg)]]*10^3/Tabella5[[#This Row],[Input Power  (mW)]]</f>
        <v/>
      </c>
      <c r="G7" s="59">
        <f>Tabella5[[#This Row],[SAR averagedbrain(mW/kg)]]*10^3/Tabella5[[#This Row],[Input Power  (mW)]]</f>
        <v/>
      </c>
      <c r="H7" s="59">
        <f>Tabella5[[#This Row],[psSAR10g_eyes  (mW/kg)]]*10^3/Tabella5[[#This Row],[Input Power  (mW)]]</f>
        <v/>
      </c>
      <c r="I7" s="59">
        <f>Tabella5[[#This Row],[psSAR10g_skin (mW/kg)]]*10^3/Tabella5[[#This Row],[Input Power  (mW)]]</f>
        <v/>
      </c>
      <c r="J7" s="59">
        <f>Tabella5[[#This Row],[psSAR10g_brain (mW/kg)]]*10^3/Tabella5[[#This Row],[Input Power  (mW)]]</f>
        <v/>
      </c>
    </row>
    <row r="8" ht="15.75" customHeight="1">
      <c r="A8" s="56" t="n">
        <v>835</v>
      </c>
      <c r="B8" s="56" t="inlineStr">
        <is>
          <t>cheek_1</t>
        </is>
      </c>
      <c r="C8" s="56" t="n">
        <v>1</v>
      </c>
      <c r="D8" s="57">
        <f>Tabella5[[#This Row],[SAR_wholebody (mW/kg)]]*10^3/Tabella5[[#This Row],[Input Power  (mW)]]</f>
        <v/>
      </c>
      <c r="E8" s="57">
        <f>Tabella5[[#This Row],[SAR_head (mW/kg)]]*10^3/Tabella5[[#This Row],[Input Power  (mW)]]</f>
        <v/>
      </c>
      <c r="F8" s="57">
        <f>Tabella5[[#This Row],[SAR_trunk (mW/kg)]]*10^3/Tabella5[[#This Row],[Input Power  (mW)]]</f>
        <v/>
      </c>
      <c r="G8" s="57">
        <f>Tabella5[[#This Row],[SAR averagedbrain(mW/kg)]]*10^3/Tabella5[[#This Row],[Input Power  (mW)]]</f>
        <v/>
      </c>
      <c r="H8" s="57">
        <f>Tabella5[[#This Row],[psSAR10g_eyes  (mW/kg)]]*10^3/Tabella5[[#This Row],[Input Power  (mW)]]</f>
        <v/>
      </c>
      <c r="I8" s="57">
        <f>Tabella5[[#This Row],[psSAR10g_skin (mW/kg)]]*10^3/Tabella5[[#This Row],[Input Power  (mW)]]</f>
        <v/>
      </c>
      <c r="J8" s="57">
        <f>Tabella5[[#This Row],[psSAR10g_brain (mW/kg)]]*10^3/Tabella5[[#This Row],[Input Power  (mW)]]</f>
        <v/>
      </c>
    </row>
    <row r="9" ht="16.5" customHeight="1">
      <c r="A9" s="8" t="n">
        <v>835</v>
      </c>
      <c r="B9" s="8" t="inlineStr">
        <is>
          <t>cheek_2</t>
        </is>
      </c>
      <c r="C9" s="8" t="n">
        <v>1</v>
      </c>
      <c r="D9" s="12">
        <f>Tabella5[[#This Row],[SAR_wholebody (mW/kg)]]*10^3/Tabella5[[#This Row],[Input Power  (mW)]]</f>
        <v/>
      </c>
      <c r="E9" s="12">
        <f>Tabella5[[#This Row],[SAR_head (mW/kg)]]*10^3/Tabella5[[#This Row],[Input Power  (mW)]]</f>
        <v/>
      </c>
      <c r="F9" s="12">
        <f>Tabella5[[#This Row],[SAR_trunk (mW/kg)]]*10^3/Tabella5[[#This Row],[Input Power  (mW)]]</f>
        <v/>
      </c>
      <c r="G9" s="12">
        <f>Tabella5[[#This Row],[SAR averagedbrain(mW/kg)]]*10^3/Tabella5[[#This Row],[Input Power  (mW)]]</f>
        <v/>
      </c>
      <c r="H9" s="12">
        <f>Tabella5[[#This Row],[psSAR10g_eyes  (mW/kg)]]*10^3/Tabella5[[#This Row],[Input Power  (mW)]]</f>
        <v/>
      </c>
      <c r="I9" s="12">
        <f>Tabella5[[#This Row],[psSAR10g_skin (mW/kg)]]*10^3/Tabella5[[#This Row],[Input Power  (mW)]]</f>
        <v/>
      </c>
      <c r="J9" s="12">
        <f>Tabella5[[#This Row],[psSAR10g_brain (mW/kg)]]*10^3/Tabella5[[#This Row],[Input Power  (mW)]]</f>
        <v/>
      </c>
    </row>
    <row r="10" ht="15.75" customHeight="1">
      <c r="A10" s="5" t="n">
        <v>835</v>
      </c>
      <c r="B10" s="5" t="inlineStr">
        <is>
          <t>cheek_3</t>
        </is>
      </c>
      <c r="C10" s="5" t="n">
        <v>1</v>
      </c>
      <c r="D10" s="9">
        <f>Tabella5[[#This Row],[SAR_wholebody (mW/kg)]]*10^3/Tabella5[[#This Row],[Input Power  (mW)]]</f>
        <v/>
      </c>
      <c r="E10" s="9">
        <f>Tabella5[[#This Row],[SAR_head (mW/kg)]]*10^3/Tabella5[[#This Row],[Input Power  (mW)]]</f>
        <v/>
      </c>
      <c r="F10" s="9">
        <f>Tabella5[[#This Row],[SAR_trunk (mW/kg)]]*10^3/Tabella5[[#This Row],[Input Power  (mW)]]</f>
        <v/>
      </c>
      <c r="G10" s="9">
        <f>Tabella5[[#This Row],[SAR averagedbrain(mW/kg)]]*10^3/Tabella5[[#This Row],[Input Power  (mW)]]</f>
        <v/>
      </c>
      <c r="H10" s="9">
        <f>Tabella5[[#This Row],[psSAR10g_eyes  (mW/kg)]]*10^3/Tabella5[[#This Row],[Input Power  (mW)]]</f>
        <v/>
      </c>
      <c r="I10" s="9">
        <f>Tabella5[[#This Row],[psSAR10g_skin (mW/kg)]]*10^3/Tabella5[[#This Row],[Input Power  (mW)]]</f>
        <v/>
      </c>
      <c r="J10" s="9">
        <f>Tabella5[[#This Row],[psSAR10g_brain (mW/kg)]]*10^3/Tabella5[[#This Row],[Input Power  (mW)]]</f>
        <v/>
      </c>
    </row>
    <row r="11" ht="15.75" customHeight="1">
      <c r="A11" s="58" t="n">
        <v>835</v>
      </c>
      <c r="B11" s="58" t="inlineStr">
        <is>
          <t>tilt_1</t>
        </is>
      </c>
      <c r="C11" s="58" t="n">
        <v>1</v>
      </c>
      <c r="D11" s="59">
        <f>Tabella5[[#This Row],[SAR_wholebody (mW/kg)]]*10^3/Tabella5[[#This Row],[Input Power  (mW)]]</f>
        <v/>
      </c>
      <c r="E11" s="59">
        <f>Tabella5[[#This Row],[SAR_head (mW/kg)]]*10^3/Tabella5[[#This Row],[Input Power  (mW)]]</f>
        <v/>
      </c>
      <c r="F11" s="59">
        <f>Tabella5[[#This Row],[SAR_trunk (mW/kg)]]*10^3/Tabella5[[#This Row],[Input Power  (mW)]]</f>
        <v/>
      </c>
      <c r="G11" s="59">
        <f>Tabella5[[#This Row],[SAR averagedbrain(mW/kg)]]*10^3/Tabella5[[#This Row],[Input Power  (mW)]]</f>
        <v/>
      </c>
      <c r="H11" s="59">
        <f>Tabella5[[#This Row],[psSAR10g_eyes  (mW/kg)]]*10^3/Tabella5[[#This Row],[Input Power  (mW)]]</f>
        <v/>
      </c>
      <c r="I11" s="59">
        <f>Tabella5[[#This Row],[psSAR10g_skin (mW/kg)]]*10^3/Tabella5[[#This Row],[Input Power  (mW)]]</f>
        <v/>
      </c>
      <c r="J11" s="59">
        <f>Tabella5[[#This Row],[psSAR10g_brain (mW/kg)]]*10^3/Tabella5[[#This Row],[Input Power  (mW)]]</f>
        <v/>
      </c>
    </row>
    <row r="12" ht="15.75" customHeight="1">
      <c r="A12" s="56" t="n">
        <v>835</v>
      </c>
      <c r="B12" s="56" t="inlineStr">
        <is>
          <t>tilt_2</t>
        </is>
      </c>
      <c r="C12" s="56" t="n">
        <v>1</v>
      </c>
      <c r="D12" s="57">
        <f>Tabella5[[#This Row],[SAR_wholebody (mW/kg)]]*10^3/Tabella5[[#This Row],[Input Power  (mW)]]</f>
        <v/>
      </c>
      <c r="E12" s="57">
        <f>Tabella5[[#This Row],[SAR_head (mW/kg)]]*10^3/Tabella5[[#This Row],[Input Power  (mW)]]</f>
        <v/>
      </c>
      <c r="F12" s="57">
        <f>Tabella5[[#This Row],[SAR_trunk (mW/kg)]]*10^3/Tabella5[[#This Row],[Input Power  (mW)]]</f>
        <v/>
      </c>
      <c r="G12" s="57">
        <f>Tabella5[[#This Row],[SAR averagedbrain(mW/kg)]]*10^3/Tabella5[[#This Row],[Input Power  (mW)]]</f>
        <v/>
      </c>
      <c r="H12" s="57">
        <f>Tabella5[[#This Row],[psSAR10g_eyes  (mW/kg)]]*10^3/Tabella5[[#This Row],[Input Power  (mW)]]</f>
        <v/>
      </c>
      <c r="I12" s="57">
        <f>Tabella5[[#This Row],[psSAR10g_skin (mW/kg)]]*10^3/Tabella5[[#This Row],[Input Power  (mW)]]</f>
        <v/>
      </c>
      <c r="J12" s="57">
        <f>Tabella5[[#This Row],[psSAR10g_brain (mW/kg)]]*10^3/Tabella5[[#This Row],[Input Power  (mW)]]</f>
        <v/>
      </c>
    </row>
    <row r="13" ht="15.75" customHeight="1">
      <c r="A13" s="58" t="n">
        <v>835</v>
      </c>
      <c r="B13" s="58" t="inlineStr">
        <is>
          <t>tilt_3</t>
        </is>
      </c>
      <c r="C13" s="58" t="n">
        <v>1</v>
      </c>
      <c r="D13" s="59">
        <f>Tabella5[[#This Row],[SAR_wholebody (mW/kg)]]*10^3/Tabella5[[#This Row],[Input Power  (mW)]]</f>
        <v/>
      </c>
      <c r="E13" s="59">
        <f>Tabella5[[#This Row],[SAR_head (mW/kg)]]*10^3/Tabella5[[#This Row],[Input Power  (mW)]]</f>
        <v/>
      </c>
      <c r="F13" s="59">
        <f>Tabella5[[#This Row],[SAR_trunk (mW/kg)]]*10^3/Tabella5[[#This Row],[Input Power  (mW)]]</f>
        <v/>
      </c>
      <c r="G13" s="59">
        <f>Tabella5[[#This Row],[SAR averagedbrain(mW/kg)]]*10^3/Tabella5[[#This Row],[Input Power  (mW)]]</f>
        <v/>
      </c>
      <c r="H13" s="59">
        <f>Tabella5[[#This Row],[psSAR10g_eyes  (mW/kg)]]*10^3/Tabella5[[#This Row],[Input Power  (mW)]]</f>
        <v/>
      </c>
      <c r="I13" s="59">
        <f>Tabella5[[#This Row],[psSAR10g_skin (mW/kg)]]*10^3/Tabella5[[#This Row],[Input Power  (mW)]]</f>
        <v/>
      </c>
      <c r="J13" s="59">
        <f>Tabella5[[#This Row],[psSAR10g_brain (mW/kg)]]*10^3/Tabella5[[#This Row],[Input Power  (mW)]]</f>
        <v/>
      </c>
    </row>
    <row r="14" ht="15.75" customHeight="1">
      <c r="A14" s="56" t="n">
        <v>1450</v>
      </c>
      <c r="B14" s="56" t="inlineStr">
        <is>
          <t>cheek_1</t>
        </is>
      </c>
      <c r="C14" s="56" t="n">
        <v>1</v>
      </c>
      <c r="D14" s="57">
        <f>Tabella5[[#This Row],[SAR_wholebody (mW/kg)]]*10^3/Tabella5[[#This Row],[Input Power  (mW)]]</f>
        <v/>
      </c>
      <c r="E14" s="57">
        <f>Tabella5[[#This Row],[SAR_head (mW/kg)]]*10^3/Tabella5[[#This Row],[Input Power  (mW)]]</f>
        <v/>
      </c>
      <c r="F14" s="57">
        <f>Tabella5[[#This Row],[SAR_trunk (mW/kg)]]*10^3/Tabella5[[#This Row],[Input Power  (mW)]]</f>
        <v/>
      </c>
      <c r="G14" s="57">
        <f>Tabella5[[#This Row],[SAR averagedbrain(mW/kg)]]*10^3/Tabella5[[#This Row],[Input Power  (mW)]]</f>
        <v/>
      </c>
      <c r="H14" s="57">
        <f>Tabella5[[#This Row],[psSAR10g_eyes  (mW/kg)]]*10^3/Tabella5[[#This Row],[Input Power  (mW)]]</f>
        <v/>
      </c>
      <c r="I14" s="57">
        <f>Tabella5[[#This Row],[psSAR10g_skin (mW/kg)]]*10^3/Tabella5[[#This Row],[Input Power  (mW)]]</f>
        <v/>
      </c>
      <c r="J14" s="57">
        <f>Tabella5[[#This Row],[psSAR10g_brain (mW/kg)]]*10^3/Tabella5[[#This Row],[Input Power  (mW)]]</f>
        <v/>
      </c>
    </row>
    <row r="15" ht="15.75" customHeight="1">
      <c r="A15" s="58" t="n">
        <v>1450</v>
      </c>
      <c r="B15" s="58" t="inlineStr">
        <is>
          <t>cheek_2</t>
        </is>
      </c>
      <c r="C15" s="58" t="n">
        <v>1</v>
      </c>
      <c r="D15" s="59">
        <f>Tabella5[[#This Row],[SAR_wholebody (mW/kg)]]*10^3/Tabella5[[#This Row],[Input Power  (mW)]]</f>
        <v/>
      </c>
      <c r="E15" s="59">
        <f>Tabella5[[#This Row],[SAR_head (mW/kg)]]*10^3/Tabella5[[#This Row],[Input Power  (mW)]]</f>
        <v/>
      </c>
      <c r="F15" s="59">
        <f>Tabella5[[#This Row],[SAR_trunk (mW/kg)]]*10^3/Tabella5[[#This Row],[Input Power  (mW)]]</f>
        <v/>
      </c>
      <c r="G15" s="59">
        <f>Tabella5[[#This Row],[SAR averagedbrain(mW/kg)]]*10^3/Tabella5[[#This Row],[Input Power  (mW)]]</f>
        <v/>
      </c>
      <c r="H15" s="59">
        <f>Tabella5[[#This Row],[psSAR10g_eyes  (mW/kg)]]*10^3/Tabella5[[#This Row],[Input Power  (mW)]]</f>
        <v/>
      </c>
      <c r="I15" s="59">
        <f>Tabella5[[#This Row],[psSAR10g_skin (mW/kg)]]*10^3/Tabella5[[#This Row],[Input Power  (mW)]]</f>
        <v/>
      </c>
      <c r="J15" s="59">
        <f>Tabella5[[#This Row],[psSAR10g_brain (mW/kg)]]*10^3/Tabella5[[#This Row],[Input Power  (mW)]]</f>
        <v/>
      </c>
    </row>
    <row r="16" ht="15.75" customHeight="1">
      <c r="A16" s="56" t="n">
        <v>1450</v>
      </c>
      <c r="B16" s="56" t="inlineStr">
        <is>
          <t>cheek_3</t>
        </is>
      </c>
      <c r="C16" s="56" t="n">
        <v>1</v>
      </c>
      <c r="D16" s="57">
        <f>Tabella5[[#This Row],[SAR_wholebody (mW/kg)]]*10^3/Tabella5[[#This Row],[Input Power  (mW)]]</f>
        <v/>
      </c>
      <c r="E16" s="57">
        <f>Tabella5[[#This Row],[SAR_head (mW/kg)]]*10^3/Tabella5[[#This Row],[Input Power  (mW)]]</f>
        <v/>
      </c>
      <c r="F16" s="57">
        <f>Tabella5[[#This Row],[SAR_trunk (mW/kg)]]*10^3/Tabella5[[#This Row],[Input Power  (mW)]]</f>
        <v/>
      </c>
      <c r="G16" s="57">
        <f>Tabella5[[#This Row],[SAR averagedbrain(mW/kg)]]*10^3/Tabella5[[#This Row],[Input Power  (mW)]]</f>
        <v/>
      </c>
      <c r="H16" s="57">
        <f>Tabella5[[#This Row],[psSAR10g_eyes  (mW/kg)]]*10^3/Tabella5[[#This Row],[Input Power  (mW)]]</f>
        <v/>
      </c>
      <c r="I16" s="57">
        <f>Tabella5[[#This Row],[psSAR10g_skin (mW/kg)]]*10^3/Tabella5[[#This Row],[Input Power  (mW)]]</f>
        <v/>
      </c>
      <c r="J16" s="57">
        <f>Tabella5[[#This Row],[psSAR10g_brain (mW/kg)]]*10^3/Tabella5[[#This Row],[Input Power  (mW)]]</f>
        <v/>
      </c>
    </row>
    <row r="17" ht="16.5" customHeight="1">
      <c r="A17" s="8" t="n">
        <v>1450</v>
      </c>
      <c r="B17" s="8" t="inlineStr">
        <is>
          <t>tilt_1</t>
        </is>
      </c>
      <c r="C17" s="8" t="n">
        <v>1</v>
      </c>
      <c r="D17" s="12">
        <f>Tabella5[[#This Row],[SAR_wholebody (mW/kg)]]*10^3/Tabella5[[#This Row],[Input Power  (mW)]]</f>
        <v/>
      </c>
      <c r="E17" s="12">
        <f>Tabella5[[#This Row],[SAR_head (mW/kg)]]*10^3/Tabella5[[#This Row],[Input Power  (mW)]]</f>
        <v/>
      </c>
      <c r="F17" s="12">
        <f>Tabella5[[#This Row],[SAR_trunk (mW/kg)]]*10^3/Tabella5[[#This Row],[Input Power  (mW)]]</f>
        <v/>
      </c>
      <c r="G17" s="12">
        <f>Tabella5[[#This Row],[SAR averagedbrain(mW/kg)]]*10^3/Tabella5[[#This Row],[Input Power  (mW)]]</f>
        <v/>
      </c>
      <c r="H17" s="12">
        <f>Tabella5[[#This Row],[psSAR10g_eyes  (mW/kg)]]*10^3/Tabella5[[#This Row],[Input Power  (mW)]]</f>
        <v/>
      </c>
      <c r="I17" s="12">
        <f>Tabella5[[#This Row],[psSAR10g_skin (mW/kg)]]*10^3/Tabella5[[#This Row],[Input Power  (mW)]]</f>
        <v/>
      </c>
      <c r="J17" s="12">
        <f>Tabella5[[#This Row],[psSAR10g_brain (mW/kg)]]*10^3/Tabella5[[#This Row],[Input Power  (mW)]]</f>
        <v/>
      </c>
    </row>
    <row r="18" ht="15.75" customHeight="1">
      <c r="A18" s="5" t="n">
        <v>1450</v>
      </c>
      <c r="B18" s="5" t="inlineStr">
        <is>
          <t>tilt_2</t>
        </is>
      </c>
      <c r="C18" s="5" t="n">
        <v>1</v>
      </c>
      <c r="D18" s="9">
        <f>Tabella5[[#This Row],[SAR_wholebody (mW/kg)]]*10^3/Tabella5[[#This Row],[Input Power  (mW)]]</f>
        <v/>
      </c>
      <c r="E18" s="57">
        <f>Tabella5[[#This Row],[SAR_head (mW/kg)]]*10^3/Tabella5[[#This Row],[Input Power  (mW)]]</f>
        <v/>
      </c>
      <c r="F18" s="57">
        <f>Tabella5[[#This Row],[SAR_trunk (mW/kg)]]*10^3/Tabella5[[#This Row],[Input Power  (mW)]]</f>
        <v/>
      </c>
      <c r="G18" s="57">
        <f>Tabella5[[#This Row],[SAR averagedbrain(mW/kg)]]*10^3/Tabella5[[#This Row],[Input Power  (mW)]]</f>
        <v/>
      </c>
      <c r="H18" s="57">
        <f>Tabella5[[#This Row],[psSAR10g_eyes  (mW/kg)]]*10^3/Tabella5[[#This Row],[Input Power  (mW)]]</f>
        <v/>
      </c>
      <c r="I18" s="57">
        <f>Tabella5[[#This Row],[psSAR10g_skin (mW/kg)]]*10^3/Tabella5[[#This Row],[Input Power  (mW)]]</f>
        <v/>
      </c>
      <c r="J18" s="57">
        <f>Tabella5[[#This Row],[psSAR10g_brain (mW/kg)]]*10^3/Tabella5[[#This Row],[Input Power  (mW)]]</f>
        <v/>
      </c>
    </row>
    <row r="19" ht="15.75" customHeight="1">
      <c r="A19" s="58" t="n">
        <v>1450</v>
      </c>
      <c r="B19" s="58" t="inlineStr">
        <is>
          <t>tilt_3</t>
        </is>
      </c>
      <c r="C19" s="58" t="n">
        <v>1</v>
      </c>
      <c r="D19" s="59">
        <f>Tabella5[[#This Row],[SAR_wholebody (mW/kg)]]*10^3/Tabella5[[#This Row],[Input Power  (mW)]]</f>
        <v/>
      </c>
      <c r="E19" s="59">
        <f>Tabella5[[#This Row],[SAR_head (mW/kg)]]*10^3/Tabella5[[#This Row],[Input Power  (mW)]]</f>
        <v/>
      </c>
      <c r="F19" s="59">
        <f>Tabella5[[#This Row],[SAR_trunk (mW/kg)]]*10^3/Tabella5[[#This Row],[Input Power  (mW)]]</f>
        <v/>
      </c>
      <c r="G19" s="59">
        <f>Tabella5[[#This Row],[SAR averagedbrain(mW/kg)]]*10^3/Tabella5[[#This Row],[Input Power  (mW)]]</f>
        <v/>
      </c>
      <c r="H19" s="59">
        <f>Tabella5[[#This Row],[psSAR10g_eyes  (mW/kg)]]*10^3/Tabella5[[#This Row],[Input Power  (mW)]]</f>
        <v/>
      </c>
      <c r="I19" s="59">
        <f>Tabella5[[#This Row],[psSAR10g_skin (mW/kg)]]*10^3/Tabella5[[#This Row],[Input Power  (mW)]]</f>
        <v/>
      </c>
      <c r="J19" s="59">
        <f>Tabella5[[#This Row],[psSAR10g_brain (mW/kg)]]*10^3/Tabella5[[#This Row],[Input Power  (mW)]]</f>
        <v/>
      </c>
    </row>
    <row r="20" ht="15.75" customHeight="1">
      <c r="A20" s="56" t="n">
        <v>2140</v>
      </c>
      <c r="B20" s="56" t="inlineStr">
        <is>
          <t>cheek_1</t>
        </is>
      </c>
      <c r="C20" s="56" t="n">
        <v>1</v>
      </c>
      <c r="D20" s="57">
        <f>Tabella5[[#This Row],[SAR_wholebody (mW/kg)]]*10^3/Tabella5[[#This Row],[Input Power  (mW)]]</f>
        <v/>
      </c>
      <c r="E20" s="57">
        <f>Tabella5[[#This Row],[SAR_head (mW/kg)]]*10^3/Tabella5[[#This Row],[Input Power  (mW)]]</f>
        <v/>
      </c>
      <c r="F20" s="57">
        <f>Tabella5[[#This Row],[SAR_trunk (mW/kg)]]*10^3/Tabella5[[#This Row],[Input Power  (mW)]]</f>
        <v/>
      </c>
      <c r="G20" s="57">
        <f>Tabella5[[#This Row],[SAR averagedbrain(mW/kg)]]*10^3/Tabella5[[#This Row],[Input Power  (mW)]]</f>
        <v/>
      </c>
      <c r="H20" s="57">
        <f>Tabella5[[#This Row],[psSAR10g_eyes  (mW/kg)]]*10^3/Tabella5[[#This Row],[Input Power  (mW)]]</f>
        <v/>
      </c>
      <c r="I20" s="57">
        <f>Tabella5[[#This Row],[psSAR10g_skin (mW/kg)]]*10^3/Tabella5[[#This Row],[Input Power  (mW)]]</f>
        <v/>
      </c>
      <c r="J20" s="57">
        <f>Tabella5[[#This Row],[psSAR10g_brain (mW/kg)]]*10^3/Tabella5[[#This Row],[Input Power  (mW)]]</f>
        <v/>
      </c>
    </row>
    <row r="21" ht="15.75" customHeight="1">
      <c r="A21" s="58" t="n">
        <v>2140</v>
      </c>
      <c r="B21" s="58" t="inlineStr">
        <is>
          <t>cheek_2</t>
        </is>
      </c>
      <c r="C21" s="58" t="n">
        <v>1</v>
      </c>
      <c r="D21" s="59">
        <f>Tabella5[[#This Row],[SAR_wholebody (mW/kg)]]*10^3/Tabella5[[#This Row],[Input Power  (mW)]]</f>
        <v/>
      </c>
      <c r="E21" s="59">
        <f>Tabella5[[#This Row],[SAR_head (mW/kg)]]*10^3/Tabella5[[#This Row],[Input Power  (mW)]]</f>
        <v/>
      </c>
      <c r="F21" s="59">
        <f>Tabella5[[#This Row],[SAR_trunk (mW/kg)]]*10^3/Tabella5[[#This Row],[Input Power  (mW)]]</f>
        <v/>
      </c>
      <c r="G21" s="59">
        <f>Tabella5[[#This Row],[SAR averagedbrain(mW/kg)]]*10^3/Tabella5[[#This Row],[Input Power  (mW)]]</f>
        <v/>
      </c>
      <c r="H21" s="59">
        <f>Tabella5[[#This Row],[psSAR10g_eyes  (mW/kg)]]*10^3/Tabella5[[#This Row],[Input Power  (mW)]]</f>
        <v/>
      </c>
      <c r="I21" s="59">
        <f>Tabella5[[#This Row],[psSAR10g_skin (mW/kg)]]*10^3/Tabella5[[#This Row],[Input Power  (mW)]]</f>
        <v/>
      </c>
      <c r="J21" s="59">
        <f>Tabella5[[#This Row],[psSAR10g_brain (mW/kg)]]*10^3/Tabella5[[#This Row],[Input Power  (mW)]]</f>
        <v/>
      </c>
    </row>
    <row r="22" ht="15.75" customHeight="1">
      <c r="A22" s="56" t="n">
        <v>2140</v>
      </c>
      <c r="B22" s="56" t="inlineStr">
        <is>
          <t>cheek_3</t>
        </is>
      </c>
      <c r="C22" s="56" t="n">
        <v>1</v>
      </c>
      <c r="D22" s="57">
        <f>Tabella5[[#This Row],[SAR_wholebody (mW/kg)]]*10^3/Tabella5[[#This Row],[Input Power  (mW)]]</f>
        <v/>
      </c>
      <c r="E22" s="57">
        <f>Tabella5[[#This Row],[SAR_head (mW/kg)]]*10^3/Tabella5[[#This Row],[Input Power  (mW)]]</f>
        <v/>
      </c>
      <c r="F22" s="57">
        <f>Tabella5[[#This Row],[SAR_trunk (mW/kg)]]*10^3/Tabella5[[#This Row],[Input Power  (mW)]]</f>
        <v/>
      </c>
      <c r="G22" s="57">
        <f>Tabella5[[#This Row],[SAR averagedbrain(mW/kg)]]*10^3/Tabella5[[#This Row],[Input Power  (mW)]]</f>
        <v/>
      </c>
      <c r="H22" s="57">
        <f>Tabella5[[#This Row],[psSAR10g_eyes  (mW/kg)]]*10^3/Tabella5[[#This Row],[Input Power  (mW)]]</f>
        <v/>
      </c>
      <c r="I22" s="57">
        <f>Tabella5[[#This Row],[psSAR10g_skin (mW/kg)]]*10^3/Tabella5[[#This Row],[Input Power  (mW)]]</f>
        <v/>
      </c>
      <c r="J22" s="57">
        <f>Tabella5[[#This Row],[psSAR10g_brain (mW/kg)]]*10^3/Tabella5[[#This Row],[Input Power  (mW)]]</f>
        <v/>
      </c>
    </row>
    <row r="23" ht="15.75" customHeight="1">
      <c r="A23" s="58" t="n">
        <v>2140</v>
      </c>
      <c r="B23" s="58" t="inlineStr">
        <is>
          <t>tilt_1</t>
        </is>
      </c>
      <c r="C23" s="58" t="n">
        <v>1</v>
      </c>
      <c r="D23" s="59">
        <f>Tabella5[[#This Row],[SAR_wholebody (mW/kg)]]*10^3/Tabella5[[#This Row],[Input Power  (mW)]]</f>
        <v/>
      </c>
      <c r="E23" s="59">
        <f>Tabella5[[#This Row],[SAR_head (mW/kg)]]*10^3/Tabella5[[#This Row],[Input Power  (mW)]]</f>
        <v/>
      </c>
      <c r="F23" s="59">
        <f>Tabella5[[#This Row],[SAR_trunk (mW/kg)]]*10^3/Tabella5[[#This Row],[Input Power  (mW)]]</f>
        <v/>
      </c>
      <c r="G23" s="59">
        <f>Tabella5[[#This Row],[SAR averagedbrain(mW/kg)]]*10^3/Tabella5[[#This Row],[Input Power  (mW)]]</f>
        <v/>
      </c>
      <c r="H23" s="59">
        <f>Tabella5[[#This Row],[psSAR10g_eyes  (mW/kg)]]*10^3/Tabella5[[#This Row],[Input Power  (mW)]]</f>
        <v/>
      </c>
      <c r="I23" s="59">
        <f>Tabella5[[#This Row],[psSAR10g_skin (mW/kg)]]*10^3/Tabella5[[#This Row],[Input Power  (mW)]]</f>
        <v/>
      </c>
      <c r="J23" s="59">
        <f>Tabella5[[#This Row],[psSAR10g_brain (mW/kg)]]*10^3/Tabella5[[#This Row],[Input Power  (mW)]]</f>
        <v/>
      </c>
    </row>
    <row r="24" ht="15.75" customHeight="1">
      <c r="A24" s="56" t="n">
        <v>2140</v>
      </c>
      <c r="B24" s="56" t="inlineStr">
        <is>
          <t>tilt_2</t>
        </is>
      </c>
      <c r="C24" s="56" t="n">
        <v>1</v>
      </c>
      <c r="D24" s="57">
        <f>Tabella5[[#This Row],[SAR_wholebody (mW/kg)]]*10^3/Tabella5[[#This Row],[Input Power  (mW)]]</f>
        <v/>
      </c>
      <c r="E24" s="57">
        <f>Tabella5[[#This Row],[SAR_head (mW/kg)]]*10^3/Tabella5[[#This Row],[Input Power  (mW)]]</f>
        <v/>
      </c>
      <c r="F24" s="57">
        <f>Tabella5[[#This Row],[SAR_trunk (mW/kg)]]*10^3/Tabella5[[#This Row],[Input Power  (mW)]]</f>
        <v/>
      </c>
      <c r="G24" s="57">
        <f>Tabella5[[#This Row],[SAR averagedbrain(mW/kg)]]*10^3/Tabella5[[#This Row],[Input Power  (mW)]]</f>
        <v/>
      </c>
      <c r="H24" s="57">
        <f>Tabella5[[#This Row],[psSAR10g_eyes  (mW/kg)]]*10^3/Tabella5[[#This Row],[Input Power  (mW)]]</f>
        <v/>
      </c>
      <c r="I24" s="57">
        <f>Tabella5[[#This Row],[psSAR10g_skin (mW/kg)]]*10^3/Tabella5[[#This Row],[Input Power  (mW)]]</f>
        <v/>
      </c>
      <c r="J24" s="57">
        <f>Tabella5[[#This Row],[psSAR10g_brain (mW/kg)]]*10^3/Tabella5[[#This Row],[Input Power  (mW)]]</f>
        <v/>
      </c>
    </row>
    <row r="25" ht="16.5" customHeight="1">
      <c r="A25" s="8" t="n">
        <v>2140</v>
      </c>
      <c r="B25" s="8" t="inlineStr">
        <is>
          <t>tilt_3</t>
        </is>
      </c>
      <c r="C25" s="8" t="n">
        <v>1</v>
      </c>
      <c r="D25" s="12">
        <f>Tabella5[[#This Row],[SAR_wholebody (mW/kg)]]*10^3/Tabella5[[#This Row],[Input Power  (mW)]]</f>
        <v/>
      </c>
      <c r="E25" s="12">
        <f>Tabella5[[#This Row],[SAR_head (mW/kg)]]*10^3/Tabella5[[#This Row],[Input Power  (mW)]]</f>
        <v/>
      </c>
      <c r="F25" s="12">
        <f>Tabella5[[#This Row],[SAR_trunk (mW/kg)]]*10^3/Tabella5[[#This Row],[Input Power  (mW)]]</f>
        <v/>
      </c>
      <c r="G25" s="12">
        <f>Tabella5[[#This Row],[SAR averagedbrain(mW/kg)]]*10^3/Tabella5[[#This Row],[Input Power  (mW)]]</f>
        <v/>
      </c>
      <c r="H25" s="12">
        <f>Tabella5[[#This Row],[psSAR10g_eyes  (mW/kg)]]*10^3/Tabella5[[#This Row],[Input Power  (mW)]]</f>
        <v/>
      </c>
      <c r="I25" s="12">
        <f>Tabella5[[#This Row],[psSAR10g_skin (mW/kg)]]*10^3/Tabella5[[#This Row],[Input Power  (mW)]]</f>
        <v/>
      </c>
      <c r="J25" s="12">
        <f>Tabella5[[#This Row],[psSAR10g_brain (mW/kg)]]*10^3/Tabella5[[#This Row],[Input Power  (mW)]]</f>
        <v/>
      </c>
    </row>
    <row r="26" ht="15.75" customHeight="1">
      <c r="A26" s="5" t="n">
        <v>2450</v>
      </c>
      <c r="B26" s="5" t="inlineStr">
        <is>
          <t>cheek_1</t>
        </is>
      </c>
      <c r="C26" s="5" t="n">
        <v>1</v>
      </c>
      <c r="D26" s="9">
        <f>Tabella5[[#This Row],[SAR_wholebody (mW/kg)]]*10^3/Tabella5[[#This Row],[Input Power  (mW)]]</f>
        <v/>
      </c>
      <c r="E26" s="57">
        <f>Tabella5[[#This Row],[SAR_head (mW/kg)]]*10^3/Tabella5[[#This Row],[Input Power  (mW)]]</f>
        <v/>
      </c>
      <c r="F26" s="57">
        <f>Tabella5[[#This Row],[SAR_trunk (mW/kg)]]*10^3/Tabella5[[#This Row],[Input Power  (mW)]]</f>
        <v/>
      </c>
      <c r="G26" s="57">
        <f>Tabella5[[#This Row],[SAR averagedbrain(mW/kg)]]*10^3/Tabella5[[#This Row],[Input Power  (mW)]]</f>
        <v/>
      </c>
      <c r="H26" s="57">
        <f>Tabella5[[#This Row],[psSAR10g_eyes  (mW/kg)]]*10^3/Tabella5[[#This Row],[Input Power  (mW)]]</f>
        <v/>
      </c>
      <c r="I26" s="57">
        <f>Tabella5[[#This Row],[psSAR10g_skin (mW/kg)]]*10^3/Tabella5[[#This Row],[Input Power  (mW)]]</f>
        <v/>
      </c>
      <c r="J26" s="57">
        <f>Tabella5[[#This Row],[psSAR10g_brain (mW/kg)]]*10^3/Tabella5[[#This Row],[Input Power  (mW)]]</f>
        <v/>
      </c>
    </row>
    <row r="27" ht="15.75" customHeight="1">
      <c r="A27" s="58" t="n">
        <v>2450</v>
      </c>
      <c r="B27" s="58" t="inlineStr">
        <is>
          <t>cheek_2</t>
        </is>
      </c>
      <c r="C27" s="58" t="n">
        <v>1</v>
      </c>
      <c r="D27" s="59">
        <f>Tabella5[[#This Row],[SAR_wholebody (mW/kg)]]*10^3/Tabella5[[#This Row],[Input Power  (mW)]]</f>
        <v/>
      </c>
      <c r="E27" s="59">
        <f>Tabella5[[#This Row],[SAR_head (mW/kg)]]*10^3/Tabella5[[#This Row],[Input Power  (mW)]]</f>
        <v/>
      </c>
      <c r="F27" s="59">
        <f>Tabella5[[#This Row],[SAR_trunk (mW/kg)]]*10^3/Tabella5[[#This Row],[Input Power  (mW)]]</f>
        <v/>
      </c>
      <c r="G27" s="59">
        <f>Tabella5[[#This Row],[SAR averagedbrain(mW/kg)]]*10^3/Tabella5[[#This Row],[Input Power  (mW)]]</f>
        <v/>
      </c>
      <c r="H27" s="59">
        <f>Tabella5[[#This Row],[psSAR10g_eyes  (mW/kg)]]*10^3/Tabella5[[#This Row],[Input Power  (mW)]]</f>
        <v/>
      </c>
      <c r="I27" s="59">
        <f>Tabella5[[#This Row],[psSAR10g_skin (mW/kg)]]*10^3/Tabella5[[#This Row],[Input Power  (mW)]]</f>
        <v/>
      </c>
      <c r="J27" s="59">
        <f>Tabella5[[#This Row],[psSAR10g_brain (mW/kg)]]*10^3/Tabella5[[#This Row],[Input Power  (mW)]]</f>
        <v/>
      </c>
    </row>
    <row r="28" ht="15.75" customHeight="1">
      <c r="A28" s="56" t="n">
        <v>2450</v>
      </c>
      <c r="B28" s="56" t="inlineStr">
        <is>
          <t>cheek_3</t>
        </is>
      </c>
      <c r="C28" s="56" t="n">
        <v>1</v>
      </c>
      <c r="D28" s="57">
        <f>Tabella5[[#This Row],[SAR_wholebody (mW/kg)]]*10^3/Tabella5[[#This Row],[Input Power  (mW)]]</f>
        <v/>
      </c>
      <c r="E28" s="57">
        <f>Tabella5[[#This Row],[SAR_head (mW/kg)]]*10^3/Tabella5[[#This Row],[Input Power  (mW)]]</f>
        <v/>
      </c>
      <c r="F28" s="57">
        <f>Tabella5[[#This Row],[SAR_trunk (mW/kg)]]*10^3/Tabella5[[#This Row],[Input Power  (mW)]]</f>
        <v/>
      </c>
      <c r="G28" s="57">
        <f>Tabella5[[#This Row],[SAR averagedbrain(mW/kg)]]*10^3/Tabella5[[#This Row],[Input Power  (mW)]]</f>
        <v/>
      </c>
      <c r="H28" s="57">
        <f>Tabella5[[#This Row],[psSAR10g_eyes  (mW/kg)]]*10^3/Tabella5[[#This Row],[Input Power  (mW)]]</f>
        <v/>
      </c>
      <c r="I28" s="57">
        <f>Tabella5[[#This Row],[psSAR10g_skin (mW/kg)]]*10^3/Tabella5[[#This Row],[Input Power  (mW)]]</f>
        <v/>
      </c>
      <c r="J28" s="57">
        <f>Tabella5[[#This Row],[psSAR10g_brain (mW/kg)]]*10^3/Tabella5[[#This Row],[Input Power  (mW)]]</f>
        <v/>
      </c>
    </row>
    <row r="29" ht="15.75" customHeight="1">
      <c r="A29" s="58" t="n">
        <v>2450</v>
      </c>
      <c r="B29" s="58" t="inlineStr">
        <is>
          <t>tilt_1</t>
        </is>
      </c>
      <c r="C29" s="58" t="n">
        <v>1</v>
      </c>
      <c r="D29" s="59">
        <f>Tabella5[[#This Row],[SAR_wholebody (mW/kg)]]*10^3/Tabella5[[#This Row],[Input Power  (mW)]]</f>
        <v/>
      </c>
      <c r="E29" s="59">
        <f>Tabella5[[#This Row],[SAR_head (mW/kg)]]*10^3/Tabella5[[#This Row],[Input Power  (mW)]]</f>
        <v/>
      </c>
      <c r="F29" s="59">
        <f>Tabella5[[#This Row],[SAR_trunk (mW/kg)]]*10^3/Tabella5[[#This Row],[Input Power  (mW)]]</f>
        <v/>
      </c>
      <c r="G29" s="59">
        <f>Tabella5[[#This Row],[SAR averagedbrain(mW/kg)]]*10^3/Tabella5[[#This Row],[Input Power  (mW)]]</f>
        <v/>
      </c>
      <c r="H29" s="59">
        <f>Tabella5[[#This Row],[psSAR10g_eyes  (mW/kg)]]*10^3/Tabella5[[#This Row],[Input Power  (mW)]]</f>
        <v/>
      </c>
      <c r="I29" s="59">
        <f>Tabella5[[#This Row],[psSAR10g_skin (mW/kg)]]*10^3/Tabella5[[#This Row],[Input Power  (mW)]]</f>
        <v/>
      </c>
      <c r="J29" s="59">
        <f>Tabella5[[#This Row],[psSAR10g_brain (mW/kg)]]*10^3/Tabella5[[#This Row],[Input Power  (mW)]]</f>
        <v/>
      </c>
    </row>
    <row r="30" ht="15.75" customHeight="1">
      <c r="A30" s="56" t="n">
        <v>2450</v>
      </c>
      <c r="B30" s="56" t="inlineStr">
        <is>
          <t>tilt_2</t>
        </is>
      </c>
      <c r="C30" s="56" t="n">
        <v>1</v>
      </c>
      <c r="D30" s="57">
        <f>Tabella5[[#This Row],[SAR_wholebody (mW/kg)]]*10^3/Tabella5[[#This Row],[Input Power  (mW)]]</f>
        <v/>
      </c>
      <c r="E30" s="57">
        <f>Tabella5[[#This Row],[SAR_head (mW/kg)]]*10^3/Tabella5[[#This Row],[Input Power  (mW)]]</f>
        <v/>
      </c>
      <c r="F30" s="57">
        <f>Tabella5[[#This Row],[SAR_trunk (mW/kg)]]*10^3/Tabella5[[#This Row],[Input Power  (mW)]]</f>
        <v/>
      </c>
      <c r="G30" s="57">
        <f>Tabella5[[#This Row],[SAR averagedbrain(mW/kg)]]*10^3/Tabella5[[#This Row],[Input Power  (mW)]]</f>
        <v/>
      </c>
      <c r="H30" s="57">
        <f>Tabella5[[#This Row],[psSAR10g_eyes  (mW/kg)]]*10^3/Tabella5[[#This Row],[Input Power  (mW)]]</f>
        <v/>
      </c>
      <c r="I30" s="57">
        <f>Tabella5[[#This Row],[psSAR10g_skin (mW/kg)]]*10^3/Tabella5[[#This Row],[Input Power  (mW)]]</f>
        <v/>
      </c>
      <c r="J30" s="57">
        <f>Tabella5[[#This Row],[psSAR10g_brain (mW/kg)]]*10^3/Tabella5[[#This Row],[Input Power  (mW)]]</f>
        <v/>
      </c>
    </row>
    <row r="31" ht="15.75" customHeight="1">
      <c r="A31" s="58" t="n">
        <v>2450</v>
      </c>
      <c r="B31" s="58" t="inlineStr">
        <is>
          <t>tilt_3</t>
        </is>
      </c>
      <c r="C31" s="58" t="n">
        <v>1</v>
      </c>
      <c r="D31" s="59">
        <f>Tabella5[[#This Row],[SAR_wholebody (mW/kg)]]*10^3/Tabella5[[#This Row],[Input Power  (mW)]]</f>
        <v/>
      </c>
      <c r="E31" s="59">
        <f>Tabella5[[#This Row],[SAR_head (mW/kg)]]*10^3/Tabella5[[#This Row],[Input Power  (mW)]]</f>
        <v/>
      </c>
      <c r="F31" s="59">
        <f>Tabella5[[#This Row],[SAR_trunk (mW/kg)]]*10^3/Tabella5[[#This Row],[Input Power  (mW)]]</f>
        <v/>
      </c>
      <c r="G31" s="59">
        <f>Tabella5[[#This Row],[SAR averagedbrain(mW/kg)]]*10^3/Tabella5[[#This Row],[Input Power  (mW)]]</f>
        <v/>
      </c>
      <c r="H31" s="59">
        <f>Tabella5[[#This Row],[psSAR10g_eyes  (mW/kg)]]*10^3/Tabella5[[#This Row],[Input Power  (mW)]]</f>
        <v/>
      </c>
      <c r="I31" s="59">
        <f>Tabella5[[#This Row],[psSAR10g_skin (mW/kg)]]*10^3/Tabella5[[#This Row],[Input Power  (mW)]]</f>
        <v/>
      </c>
      <c r="J31" s="59">
        <f>Tabella5[[#This Row],[psSAR10g_brain (mW/kg)]]*10^3/Tabella5[[#This Row],[Input Power  (mW)]]</f>
        <v/>
      </c>
    </row>
    <row r="32" ht="15.75" customHeight="1">
      <c r="A32" s="56" t="n">
        <v>3500</v>
      </c>
      <c r="B32" s="56" t="inlineStr">
        <is>
          <t>cheek_1</t>
        </is>
      </c>
      <c r="C32" s="56" t="n">
        <v>1</v>
      </c>
      <c r="D32" s="57">
        <f>Tabella5[[#This Row],[SAR_wholebody (mW/kg)]]*10^3/Tabella5[[#This Row],[Input Power  (mW)]]</f>
        <v/>
      </c>
      <c r="E32" s="57">
        <f>Tabella5[[#This Row],[SAR_head (mW/kg)]]*10^3/Tabella5[[#This Row],[Input Power  (mW)]]</f>
        <v/>
      </c>
      <c r="F32" s="57">
        <f>Tabella5[[#This Row],[SAR_trunk (mW/kg)]]*10^3/Tabella5[[#This Row],[Input Power  (mW)]]</f>
        <v/>
      </c>
      <c r="G32" s="57">
        <f>Tabella5[[#This Row],[SAR averagedbrain(mW/kg)]]*10^3/Tabella5[[#This Row],[Input Power  (mW)]]</f>
        <v/>
      </c>
      <c r="H32" s="57">
        <f>Tabella5[[#This Row],[psSAR10g_eyes  (mW/kg)]]*10^3/Tabella5[[#This Row],[Input Power  (mW)]]</f>
        <v/>
      </c>
      <c r="I32" s="57">
        <f>Tabella5[[#This Row],[psSAR10g_skin (mW/kg)]]*10^3/Tabella5[[#This Row],[Input Power  (mW)]]</f>
        <v/>
      </c>
      <c r="J32" s="57">
        <f>Tabella5[[#This Row],[psSAR10g_brain (mW/kg)]]*10^3/Tabella5[[#This Row],[Input Power  (mW)]]</f>
        <v/>
      </c>
    </row>
    <row r="33" ht="16.5" customHeight="1">
      <c r="A33" s="8" t="n">
        <v>3500</v>
      </c>
      <c r="B33" s="8" t="inlineStr">
        <is>
          <t>cheek_2</t>
        </is>
      </c>
      <c r="C33" s="8" t="n">
        <v>1</v>
      </c>
      <c r="D33" s="12">
        <f>Tabella5[[#This Row],[SAR_wholebody (mW/kg)]]*10^3/Tabella5[[#This Row],[Input Power  (mW)]]</f>
        <v/>
      </c>
      <c r="E33" s="12">
        <f>Tabella5[[#This Row],[SAR_head (mW/kg)]]*10^3/Tabella5[[#This Row],[Input Power  (mW)]]</f>
        <v/>
      </c>
      <c r="F33" s="12">
        <f>Tabella5[[#This Row],[SAR_trunk (mW/kg)]]*10^3/Tabella5[[#This Row],[Input Power  (mW)]]</f>
        <v/>
      </c>
      <c r="G33" s="12">
        <f>Tabella5[[#This Row],[SAR averagedbrain(mW/kg)]]*10^3/Tabella5[[#This Row],[Input Power  (mW)]]</f>
        <v/>
      </c>
      <c r="H33" s="12">
        <f>Tabella5[[#This Row],[psSAR10g_eyes  (mW/kg)]]*10^3/Tabella5[[#This Row],[Input Power  (mW)]]</f>
        <v/>
      </c>
      <c r="I33" s="12">
        <f>Tabella5[[#This Row],[psSAR10g_skin (mW/kg)]]*10^3/Tabella5[[#This Row],[Input Power  (mW)]]</f>
        <v/>
      </c>
      <c r="J33" s="12">
        <f>Tabella5[[#This Row],[psSAR10g_brain (mW/kg)]]*10^3/Tabella5[[#This Row],[Input Power  (mW)]]</f>
        <v/>
      </c>
    </row>
    <row r="34" ht="15.75" customHeight="1">
      <c r="A34" s="5" t="n">
        <v>3500</v>
      </c>
      <c r="B34" s="5" t="inlineStr">
        <is>
          <t>cheek_3</t>
        </is>
      </c>
      <c r="C34" s="5" t="n">
        <v>1</v>
      </c>
      <c r="D34" s="9">
        <f>Tabella5[[#This Row],[SAR_wholebody (mW/kg)]]*10^3/Tabella5[[#This Row],[Input Power  (mW)]]</f>
        <v/>
      </c>
      <c r="E34" s="9">
        <f>Tabella5[[#This Row],[SAR_head (mW/kg)]]*10^3/Tabella5[[#This Row],[Input Power  (mW)]]</f>
        <v/>
      </c>
      <c r="F34" s="9">
        <f>Tabella5[[#This Row],[SAR_trunk (mW/kg)]]*10^3/Tabella5[[#This Row],[Input Power  (mW)]]</f>
        <v/>
      </c>
      <c r="G34" s="9">
        <f>Tabella5[[#This Row],[SAR averagedbrain(mW/kg)]]*10^3/Tabella5[[#This Row],[Input Power  (mW)]]</f>
        <v/>
      </c>
      <c r="H34" s="9">
        <f>Tabella5[[#This Row],[psSAR10g_eyes  (mW/kg)]]*10^3/Tabella5[[#This Row],[Input Power  (mW)]]</f>
        <v/>
      </c>
      <c r="I34" s="9">
        <f>Tabella5[[#This Row],[psSAR10g_skin (mW/kg)]]*10^3/Tabella5[[#This Row],[Input Power  (mW)]]</f>
        <v/>
      </c>
      <c r="J34" s="9">
        <f>Tabella5[[#This Row],[psSAR10g_brain (mW/kg)]]*10^3/Tabella5[[#This Row],[Input Power  (mW)]]</f>
        <v/>
      </c>
    </row>
    <row r="35" ht="15.75" customHeight="1">
      <c r="A35" s="58" t="n">
        <v>3500</v>
      </c>
      <c r="B35" s="58" t="inlineStr">
        <is>
          <t>tilt_1</t>
        </is>
      </c>
      <c r="C35" s="58" t="n">
        <v>1</v>
      </c>
      <c r="D35" s="59">
        <f>Tabella5[[#This Row],[SAR_wholebody (mW/kg)]]*10^3/Tabella5[[#This Row],[Input Power  (mW)]]</f>
        <v/>
      </c>
      <c r="E35" s="59">
        <f>Tabella5[[#This Row],[SAR_head (mW/kg)]]*10^3/Tabella5[[#This Row],[Input Power  (mW)]]</f>
        <v/>
      </c>
      <c r="F35" s="59">
        <f>Tabella5[[#This Row],[SAR_trunk (mW/kg)]]*10^3/Tabella5[[#This Row],[Input Power  (mW)]]</f>
        <v/>
      </c>
      <c r="G35" s="59">
        <f>Tabella5[[#This Row],[SAR averagedbrain(mW/kg)]]*10^3/Tabella5[[#This Row],[Input Power  (mW)]]</f>
        <v/>
      </c>
      <c r="H35" s="59">
        <f>Tabella5[[#This Row],[psSAR10g_eyes  (mW/kg)]]*10^3/Tabella5[[#This Row],[Input Power  (mW)]]</f>
        <v/>
      </c>
      <c r="I35" s="59">
        <f>Tabella5[[#This Row],[psSAR10g_skin (mW/kg)]]*10^3/Tabella5[[#This Row],[Input Power  (mW)]]</f>
        <v/>
      </c>
      <c r="J35" s="59">
        <f>Tabella5[[#This Row],[psSAR10g_brain (mW/kg)]]*10^3/Tabella5[[#This Row],[Input Power  (mW)]]</f>
        <v/>
      </c>
    </row>
    <row r="36" ht="15.75" customHeight="1">
      <c r="A36" s="56" t="n">
        <v>3500</v>
      </c>
      <c r="B36" s="56" t="inlineStr">
        <is>
          <t>tilt_2</t>
        </is>
      </c>
      <c r="C36" s="56" t="n">
        <v>1</v>
      </c>
      <c r="D36" s="57">
        <f>Tabella5[[#This Row],[SAR_wholebody (mW/kg)]]*10^3/Tabella5[[#This Row],[Input Power  (mW)]]</f>
        <v/>
      </c>
      <c r="E36" s="57">
        <f>Tabella5[[#This Row],[SAR_head (mW/kg)]]*10^3/Tabella5[[#This Row],[Input Power  (mW)]]</f>
        <v/>
      </c>
      <c r="F36" s="57">
        <f>Tabella5[[#This Row],[SAR_trunk (mW/kg)]]*10^3/Tabella5[[#This Row],[Input Power  (mW)]]</f>
        <v/>
      </c>
      <c r="G36" s="57">
        <f>Tabella5[[#This Row],[SAR averagedbrain(mW/kg)]]*10^3/Tabella5[[#This Row],[Input Power  (mW)]]</f>
        <v/>
      </c>
      <c r="H36" s="57">
        <f>Tabella5[[#This Row],[psSAR10g_eyes  (mW/kg)]]*10^3/Tabella5[[#This Row],[Input Power  (mW)]]</f>
        <v/>
      </c>
      <c r="I36" s="57">
        <f>Tabella5[[#This Row],[psSAR10g_skin (mW/kg)]]*10^3/Tabella5[[#This Row],[Input Power  (mW)]]</f>
        <v/>
      </c>
      <c r="J36" s="57">
        <f>Tabella5[[#This Row],[psSAR10g_brain (mW/kg)]]*10^3/Tabella5[[#This Row],[Input Power  (mW)]]</f>
        <v/>
      </c>
    </row>
    <row r="37" ht="15.75" customHeight="1">
      <c r="A37" s="58" t="n">
        <v>3500</v>
      </c>
      <c r="B37" s="58" t="inlineStr">
        <is>
          <t>tilt_3</t>
        </is>
      </c>
      <c r="C37" s="58" t="n">
        <v>1</v>
      </c>
      <c r="D37" s="59">
        <f>Tabella5[[#This Row],[SAR_wholebody (mW/kg)]]*10^3/Tabella5[[#This Row],[Input Power  (mW)]]</f>
        <v/>
      </c>
      <c r="E37" s="59">
        <f>Tabella5[[#This Row],[SAR_head (mW/kg)]]*10^3/Tabella5[[#This Row],[Input Power  (mW)]]</f>
        <v/>
      </c>
      <c r="F37" s="59">
        <f>Tabella5[[#This Row],[SAR_trunk (mW/kg)]]*10^3/Tabella5[[#This Row],[Input Power  (mW)]]</f>
        <v/>
      </c>
      <c r="G37" s="59">
        <f>Tabella5[[#This Row],[SAR averagedbrain(mW/kg)]]*10^3/Tabella5[[#This Row],[Input Power  (mW)]]</f>
        <v/>
      </c>
      <c r="H37" s="59">
        <f>Tabella5[[#This Row],[psSAR10g_eyes  (mW/kg)]]*10^3/Tabella5[[#This Row],[Input Power  (mW)]]</f>
        <v/>
      </c>
      <c r="I37" s="59">
        <f>Tabella5[[#This Row],[psSAR10g_skin (mW/kg)]]*10^3/Tabella5[[#This Row],[Input Power  (mW)]]</f>
        <v/>
      </c>
      <c r="J37" s="59">
        <f>Tabella5[[#This Row],[psSAR10g_brain (mW/kg)]]*10^3/Tabella5[[#This Row],[Input Power  (mW)]]</f>
        <v/>
      </c>
    </row>
    <row r="38" ht="15.75" customHeight="1">
      <c r="A38" s="56" t="n">
        <v>5200</v>
      </c>
      <c r="B38" s="56" t="inlineStr">
        <is>
          <t>cheek_1</t>
        </is>
      </c>
      <c r="C38" s="56" t="n">
        <v>1</v>
      </c>
      <c r="D38" s="57">
        <f>Tabella5[[#This Row],[SAR_wholebody (mW/kg)]]*10^3/Tabella5[[#This Row],[Input Power  (mW)]]</f>
        <v/>
      </c>
      <c r="E38" s="57">
        <f>Tabella5[[#This Row],[SAR_head (mW/kg)]]*10^3/Tabella5[[#This Row],[Input Power  (mW)]]</f>
        <v/>
      </c>
      <c r="F38" s="57">
        <f>Tabella5[[#This Row],[SAR_trunk (mW/kg)]]*10^3/Tabella5[[#This Row],[Input Power  (mW)]]</f>
        <v/>
      </c>
      <c r="G38" s="57">
        <f>Tabella5[[#This Row],[SAR averagedbrain(mW/kg)]]*10^3/Tabella5[[#This Row],[Input Power  (mW)]]</f>
        <v/>
      </c>
      <c r="H38" s="57">
        <f>Tabella5[[#This Row],[psSAR10g_eyes  (mW/kg)]]*10^3/Tabella5[[#This Row],[Input Power  (mW)]]</f>
        <v/>
      </c>
      <c r="I38" s="57">
        <f>Tabella5[[#This Row],[psSAR10g_skin (mW/kg)]]*10^3/Tabella5[[#This Row],[Input Power  (mW)]]</f>
        <v/>
      </c>
      <c r="J38" s="57">
        <f>Tabella5[[#This Row],[psSAR10g_brain (mW/kg)]]*10^3/Tabella5[[#This Row],[Input Power  (mW)]]</f>
        <v/>
      </c>
    </row>
    <row r="39" ht="15.75" customHeight="1">
      <c r="A39" s="58" t="n">
        <v>5200</v>
      </c>
      <c r="B39" s="58" t="inlineStr">
        <is>
          <t>cheek_2</t>
        </is>
      </c>
      <c r="C39" s="58" t="n">
        <v>1</v>
      </c>
      <c r="D39" s="59">
        <f>Tabella5[[#This Row],[SAR_wholebody (mW/kg)]]*10^3/Tabella5[[#This Row],[Input Power  (mW)]]</f>
        <v/>
      </c>
      <c r="E39" s="59">
        <f>Tabella5[[#This Row],[SAR_head (mW/kg)]]*10^3/Tabella5[[#This Row],[Input Power  (mW)]]</f>
        <v/>
      </c>
      <c r="F39" s="59">
        <f>Tabella5[[#This Row],[SAR_trunk (mW/kg)]]*10^3/Tabella5[[#This Row],[Input Power  (mW)]]</f>
        <v/>
      </c>
      <c r="G39" s="59">
        <f>Tabella5[[#This Row],[SAR averagedbrain(mW/kg)]]*10^3/Tabella5[[#This Row],[Input Power  (mW)]]</f>
        <v/>
      </c>
      <c r="H39" s="59">
        <f>Tabella5[[#This Row],[psSAR10g_eyes  (mW/kg)]]*10^3/Tabella5[[#This Row],[Input Power  (mW)]]</f>
        <v/>
      </c>
      <c r="I39" s="59">
        <f>Tabella5[[#This Row],[psSAR10g_skin (mW/kg)]]*10^3/Tabella5[[#This Row],[Input Power  (mW)]]</f>
        <v/>
      </c>
      <c r="J39" s="59">
        <f>Tabella5[[#This Row],[psSAR10g_brain (mW/kg)]]*10^3/Tabella5[[#This Row],[Input Power  (mW)]]</f>
        <v/>
      </c>
    </row>
    <row r="40" ht="15.75" customHeight="1">
      <c r="A40" s="56" t="n">
        <v>5200</v>
      </c>
      <c r="B40" s="56" t="inlineStr">
        <is>
          <t>cheek_3</t>
        </is>
      </c>
      <c r="C40" s="56" t="n">
        <v>1</v>
      </c>
      <c r="D40" s="57">
        <f>Tabella5[[#This Row],[SAR_wholebody (mW/kg)]]*10^3/Tabella5[[#This Row],[Input Power  (mW)]]</f>
        <v/>
      </c>
      <c r="E40" s="57">
        <f>Tabella5[[#This Row],[SAR_head (mW/kg)]]*10^3/Tabella5[[#This Row],[Input Power  (mW)]]</f>
        <v/>
      </c>
      <c r="F40" s="57">
        <f>Tabella5[[#This Row],[SAR_trunk (mW/kg)]]*10^3/Tabella5[[#This Row],[Input Power  (mW)]]</f>
        <v/>
      </c>
      <c r="G40" s="57">
        <f>Tabella5[[#This Row],[SAR averagedbrain(mW/kg)]]*10^3/Tabella5[[#This Row],[Input Power  (mW)]]</f>
        <v/>
      </c>
      <c r="H40" s="57">
        <f>Tabella5[[#This Row],[psSAR10g_eyes  (mW/kg)]]*10^3/Tabella5[[#This Row],[Input Power  (mW)]]</f>
        <v/>
      </c>
      <c r="I40" s="57">
        <f>Tabella5[[#This Row],[psSAR10g_skin (mW/kg)]]*10^3/Tabella5[[#This Row],[Input Power  (mW)]]</f>
        <v/>
      </c>
      <c r="J40" s="57">
        <f>Tabella5[[#This Row],[psSAR10g_brain (mW/kg)]]*10^3/Tabella5[[#This Row],[Input Power  (mW)]]</f>
        <v/>
      </c>
    </row>
    <row r="41" ht="16.5" customHeight="1">
      <c r="A41" s="8" t="n">
        <v>5200</v>
      </c>
      <c r="B41" s="8" t="inlineStr">
        <is>
          <t>tilt_1</t>
        </is>
      </c>
      <c r="C41" s="8" t="n">
        <v>1</v>
      </c>
      <c r="D41" s="12">
        <f>Tabella5[[#This Row],[SAR_wholebody (mW/kg)]]*10^3/Tabella5[[#This Row],[Input Power  (mW)]]</f>
        <v/>
      </c>
      <c r="E41" s="12">
        <f>Tabella5[[#This Row],[SAR_head (mW/kg)]]*10^3/Tabella5[[#This Row],[Input Power  (mW)]]</f>
        <v/>
      </c>
      <c r="F41" s="12">
        <f>Tabella5[[#This Row],[SAR_trunk (mW/kg)]]*10^3/Tabella5[[#This Row],[Input Power  (mW)]]</f>
        <v/>
      </c>
      <c r="G41" s="12">
        <f>Tabella5[[#This Row],[SAR averagedbrain(mW/kg)]]*10^3/Tabella5[[#This Row],[Input Power  (mW)]]</f>
        <v/>
      </c>
      <c r="H41" s="12">
        <f>Tabella5[[#This Row],[psSAR10g_eyes  (mW/kg)]]*10^3/Tabella5[[#This Row],[Input Power  (mW)]]</f>
        <v/>
      </c>
      <c r="I41" s="12">
        <f>Tabella5[[#This Row],[psSAR10g_skin (mW/kg)]]*10^3/Tabella5[[#This Row],[Input Power  (mW)]]</f>
        <v/>
      </c>
      <c r="J41" s="12">
        <f>Tabella5[[#This Row],[psSAR10g_brain (mW/kg)]]*10^3/Tabella5[[#This Row],[Input Power  (mW)]]</f>
        <v/>
      </c>
    </row>
    <row r="42" ht="15.75" customHeight="1">
      <c r="A42" s="5" t="n">
        <v>5200</v>
      </c>
      <c r="B42" s="5" t="inlineStr">
        <is>
          <t>tilt_2</t>
        </is>
      </c>
      <c r="C42" s="5" t="n">
        <v>1</v>
      </c>
      <c r="D42" s="9">
        <f>Tabella5[[#This Row],[SAR_wholebody (mW/kg)]]*10^3/Tabella5[[#This Row],[Input Power  (mW)]]</f>
        <v/>
      </c>
      <c r="E42" s="57">
        <f>Tabella5[[#This Row],[SAR_head (mW/kg)]]*10^3/Tabella5[[#This Row],[Input Power  (mW)]]</f>
        <v/>
      </c>
      <c r="F42" s="9">
        <f>Tabella5[[#This Row],[SAR_trunk (mW/kg)]]*10^3/Tabella5[[#This Row],[Input Power  (mW)]]</f>
        <v/>
      </c>
      <c r="G42" s="9">
        <f>Tabella5[[#This Row],[SAR averagedbrain(mW/kg)]]*10^3/Tabella5[[#This Row],[Input Power  (mW)]]</f>
        <v/>
      </c>
      <c r="H42" s="9">
        <f>Tabella5[[#This Row],[psSAR10g_eyes  (mW/kg)]]*10^3/Tabella5[[#This Row],[Input Power  (mW)]]</f>
        <v/>
      </c>
      <c r="I42" s="9">
        <f>Tabella5[[#This Row],[psSAR10g_skin (mW/kg)]]*10^3/Tabella5[[#This Row],[Input Power  (mW)]]</f>
        <v/>
      </c>
      <c r="J42" s="9">
        <f>Tabella5[[#This Row],[psSAR10g_brain (mW/kg)]]*10^3/Tabella5[[#This Row],[Input Power  (mW)]]</f>
        <v/>
      </c>
    </row>
    <row r="43" ht="15.75" customHeight="1">
      <c r="A43" s="58" t="n">
        <v>5200</v>
      </c>
      <c r="B43" s="58" t="inlineStr">
        <is>
          <t>tilt_3</t>
        </is>
      </c>
      <c r="C43" s="58" t="n">
        <v>1</v>
      </c>
      <c r="D43" s="59">
        <f>Tabella5[[#This Row],[SAR_wholebody (mW/kg)]]*10^3/Tabella5[[#This Row],[Input Power  (mW)]]</f>
        <v/>
      </c>
      <c r="E43" s="59">
        <f>Tabella5[[#This Row],[SAR_head (mW/kg)]]*10^3/Tabella5[[#This Row],[Input Power  (mW)]]</f>
        <v/>
      </c>
      <c r="F43" s="59">
        <f>Tabella5[[#This Row],[SAR_trunk (mW/kg)]]*10^3/Tabella5[[#This Row],[Input Power  (mW)]]</f>
        <v/>
      </c>
      <c r="G43" s="59">
        <f>Tabella5[[#This Row],[SAR averagedbrain(mW/kg)]]*10^3/Tabella5[[#This Row],[Input Power  (mW)]]</f>
        <v/>
      </c>
      <c r="H43" s="59">
        <f>Tabella5[[#This Row],[psSAR10g_eyes  (mW/kg)]]*10^3/Tabella5[[#This Row],[Input Power  (mW)]]</f>
        <v/>
      </c>
      <c r="I43" s="59">
        <f>Tabella5[[#This Row],[psSAR10g_skin (mW/kg)]]*10^3/Tabella5[[#This Row],[Input Power  (mW)]]</f>
        <v/>
      </c>
      <c r="J43" s="59">
        <f>Tabella5[[#This Row],[psSAR10g_brain (mW/kg)]]*10^3/Tabella5[[#This Row],[Input Power  (mW)]]</f>
        <v/>
      </c>
    </row>
    <row r="44" ht="15.75" customHeight="1">
      <c r="A44" s="56" t="n">
        <v>5800</v>
      </c>
      <c r="B44" s="56" t="inlineStr">
        <is>
          <t>cheek_1</t>
        </is>
      </c>
      <c r="C44" s="56" t="n">
        <v>1</v>
      </c>
      <c r="D44" s="57">
        <f>Tabella5[[#This Row],[SAR_wholebody (mW/kg)]]*10^3/Tabella5[[#This Row],[Input Power  (mW)]]</f>
        <v/>
      </c>
      <c r="E44" s="57">
        <f>Tabella5[[#This Row],[SAR_head (mW/kg)]]*10^3/Tabella5[[#This Row],[Input Power  (mW)]]</f>
        <v/>
      </c>
      <c r="F44" s="57">
        <f>Tabella5[[#This Row],[SAR_trunk (mW/kg)]]*10^3/Tabella5[[#This Row],[Input Power  (mW)]]</f>
        <v/>
      </c>
      <c r="G44" s="57">
        <f>Tabella5[[#This Row],[SAR averagedbrain(mW/kg)]]*10^3/Tabella5[[#This Row],[Input Power  (mW)]]</f>
        <v/>
      </c>
      <c r="H44" s="57">
        <f>Tabella5[[#This Row],[psSAR10g_eyes  (mW/kg)]]*10^3/Tabella5[[#This Row],[Input Power  (mW)]]</f>
        <v/>
      </c>
      <c r="I44" s="57">
        <f>Tabella5[[#This Row],[psSAR10g_skin (mW/kg)]]*10^3/Tabella5[[#This Row],[Input Power  (mW)]]</f>
        <v/>
      </c>
      <c r="J44" s="57">
        <f>Tabella5[[#This Row],[psSAR10g_brain (mW/kg)]]*10^3/Tabella5[[#This Row],[Input Power  (mW)]]</f>
        <v/>
      </c>
    </row>
    <row r="45" ht="15.75" customHeight="1">
      <c r="A45" s="58" t="n">
        <v>5800</v>
      </c>
      <c r="B45" s="58" t="inlineStr">
        <is>
          <t>cheek_2</t>
        </is>
      </c>
      <c r="C45" s="58" t="n">
        <v>1</v>
      </c>
      <c r="D45" s="59">
        <f>Tabella5[[#This Row],[SAR_wholebody (mW/kg)]]*10^3/Tabella5[[#This Row],[Input Power  (mW)]]</f>
        <v/>
      </c>
      <c r="E45" s="59">
        <f>Tabella5[[#This Row],[SAR_head (mW/kg)]]*10^3/Tabella5[[#This Row],[Input Power  (mW)]]</f>
        <v/>
      </c>
      <c r="F45" s="59">
        <f>Tabella5[[#This Row],[SAR_trunk (mW/kg)]]*10^3/Tabella5[[#This Row],[Input Power  (mW)]]</f>
        <v/>
      </c>
      <c r="G45" s="59">
        <f>Tabella5[[#This Row],[SAR averagedbrain(mW/kg)]]*10^3/Tabella5[[#This Row],[Input Power  (mW)]]</f>
        <v/>
      </c>
      <c r="H45" s="59">
        <f>Tabella5[[#This Row],[psSAR10g_eyes  (mW/kg)]]*10^3/Tabella5[[#This Row],[Input Power  (mW)]]</f>
        <v/>
      </c>
      <c r="I45" s="59">
        <f>Tabella5[[#This Row],[psSAR10g_skin (mW/kg)]]*10^3/Tabella5[[#This Row],[Input Power  (mW)]]</f>
        <v/>
      </c>
      <c r="J45" s="59">
        <f>Tabella5[[#This Row],[psSAR10g_brain (mW/kg)]]*10^3/Tabella5[[#This Row],[Input Power  (mW)]]</f>
        <v/>
      </c>
    </row>
    <row r="46" ht="15.75" customHeight="1">
      <c r="A46" s="56" t="n">
        <v>5800</v>
      </c>
      <c r="B46" s="56" t="inlineStr">
        <is>
          <t>cheek_3</t>
        </is>
      </c>
      <c r="C46" s="56" t="n">
        <v>1</v>
      </c>
      <c r="D46" s="57">
        <f>Tabella5[[#This Row],[SAR_wholebody (mW/kg)]]*10^3/Tabella5[[#This Row],[Input Power  (mW)]]</f>
        <v/>
      </c>
      <c r="E46" s="57">
        <f>Tabella5[[#This Row],[SAR_head (mW/kg)]]*10^3/Tabella5[[#This Row],[Input Power  (mW)]]</f>
        <v/>
      </c>
      <c r="F46" s="57">
        <f>Tabella5[[#This Row],[SAR_trunk (mW/kg)]]*10^3/Tabella5[[#This Row],[Input Power  (mW)]]</f>
        <v/>
      </c>
      <c r="G46" s="57">
        <f>Tabella5[[#This Row],[SAR averagedbrain(mW/kg)]]*10^3/Tabella5[[#This Row],[Input Power  (mW)]]</f>
        <v/>
      </c>
      <c r="H46" s="57">
        <f>Tabella5[[#This Row],[psSAR10g_eyes  (mW/kg)]]*10^3/Tabella5[[#This Row],[Input Power  (mW)]]</f>
        <v/>
      </c>
      <c r="I46" s="57">
        <f>Tabella5[[#This Row],[psSAR10g_skin (mW/kg)]]*10^3/Tabella5[[#This Row],[Input Power  (mW)]]</f>
        <v/>
      </c>
      <c r="J46" s="57">
        <f>Tabella5[[#This Row],[psSAR10g_brain (mW/kg)]]*10^3/Tabella5[[#This Row],[Input Power  (mW)]]</f>
        <v/>
      </c>
    </row>
    <row r="47" ht="15.75" customHeight="1">
      <c r="A47" s="58" t="n">
        <v>5800</v>
      </c>
      <c r="B47" s="58" t="inlineStr">
        <is>
          <t>tilt_1</t>
        </is>
      </c>
      <c r="C47" s="58" t="n">
        <v>1</v>
      </c>
      <c r="D47" s="59">
        <f>Tabella5[[#This Row],[SAR_wholebody (mW/kg)]]*10^3/Tabella5[[#This Row],[Input Power  (mW)]]</f>
        <v/>
      </c>
      <c r="E47" s="59">
        <f>Tabella5[[#This Row],[SAR_head (mW/kg)]]*10^3/Tabella5[[#This Row],[Input Power  (mW)]]</f>
        <v/>
      </c>
      <c r="F47" s="59">
        <f>Tabella5[[#This Row],[SAR_trunk (mW/kg)]]*10^3/Tabella5[[#This Row],[Input Power  (mW)]]</f>
        <v/>
      </c>
      <c r="G47" s="59">
        <f>Tabella5[[#This Row],[SAR averagedbrain(mW/kg)]]*10^3/Tabella5[[#This Row],[Input Power  (mW)]]</f>
        <v/>
      </c>
      <c r="H47" s="59">
        <f>Tabella5[[#This Row],[psSAR10g_eyes  (mW/kg)]]*10^3/Tabella5[[#This Row],[Input Power  (mW)]]</f>
        <v/>
      </c>
      <c r="I47" s="59">
        <f>Tabella5[[#This Row],[psSAR10g_skin (mW/kg)]]*10^3/Tabella5[[#This Row],[Input Power  (mW)]]</f>
        <v/>
      </c>
      <c r="J47" s="59">
        <f>Tabella5[[#This Row],[psSAR10g_brain (mW/kg)]]*10^3/Tabella5[[#This Row],[Input Power  (mW)]]</f>
        <v/>
      </c>
    </row>
    <row r="48" ht="15.75" customHeight="1">
      <c r="A48" s="56" t="n">
        <v>5800</v>
      </c>
      <c r="B48" s="56" t="inlineStr">
        <is>
          <t>tilt_2</t>
        </is>
      </c>
      <c r="C48" s="56" t="n">
        <v>1</v>
      </c>
      <c r="D48" s="57">
        <f>Tabella5[[#This Row],[SAR_wholebody (mW/kg)]]*10^3/Tabella5[[#This Row],[Input Power  (mW)]]</f>
        <v/>
      </c>
      <c r="E48" s="57">
        <f>Tabella5[[#This Row],[SAR_head (mW/kg)]]*10^3/Tabella5[[#This Row],[Input Power  (mW)]]</f>
        <v/>
      </c>
      <c r="F48" s="57">
        <f>Tabella5[[#This Row],[SAR_trunk (mW/kg)]]*10^3/Tabella5[[#This Row],[Input Power  (mW)]]</f>
        <v/>
      </c>
      <c r="G48" s="57">
        <f>Tabella5[[#This Row],[SAR averagedbrain(mW/kg)]]*10^3/Tabella5[[#This Row],[Input Power  (mW)]]</f>
        <v/>
      </c>
      <c r="H48" s="57">
        <f>Tabella5[[#This Row],[psSAR10g_eyes  (mW/kg)]]*10^3/Tabella5[[#This Row],[Input Power  (mW)]]</f>
        <v/>
      </c>
      <c r="I48" s="57">
        <f>Tabella5[[#This Row],[psSAR10g_skin (mW/kg)]]*10^3/Tabella5[[#This Row],[Input Power  (mW)]]</f>
        <v/>
      </c>
      <c r="J48" s="57">
        <f>Tabella5[[#This Row],[psSAR10g_brain (mW/kg)]]*10^3/Tabella5[[#This Row],[Input Power  (mW)]]</f>
        <v/>
      </c>
    </row>
    <row r="49" ht="16.5" customHeight="1">
      <c r="A49" s="8" t="n">
        <v>5800</v>
      </c>
      <c r="B49" s="8" t="inlineStr">
        <is>
          <t>tilt_3</t>
        </is>
      </c>
      <c r="C49" s="8" t="n">
        <v>1</v>
      </c>
      <c r="D49" s="12">
        <f>Tabella5[[#This Row],[SAR_wholebody (mW/kg)]]*10^3/Tabella5[[#This Row],[Input Power  (mW)]]</f>
        <v/>
      </c>
      <c r="E49" s="12">
        <f>Tabella5[[#This Row],[SAR_head (mW/kg)]]*10^3/Tabella5[[#This Row],[Input Power  (mW)]]</f>
        <v/>
      </c>
      <c r="F49" s="12">
        <f>Tabella5[[#This Row],[SAR_trunk (mW/kg)]]*10^3/Tabella5[[#This Row],[Input Power  (mW)]]</f>
        <v/>
      </c>
      <c r="G49" s="12">
        <f>Tabella5[[#This Row],[SAR averagedbrain(mW/kg)]]*10^3/Tabella5[[#This Row],[Input Power  (mW)]]</f>
        <v/>
      </c>
      <c r="H49" s="12">
        <f>Tabella5[[#This Row],[psSAR10g_eyes  (mW/kg)]]*10^3/Tabella5[[#This Row],[Input Power  (mW)]]</f>
        <v/>
      </c>
      <c r="I49" s="12">
        <f>Tabella5[[#This Row],[psSAR10g_skin (mW/kg)]]*10^3/Tabella5[[#This Row],[Input Power  (mW)]]</f>
        <v/>
      </c>
      <c r="J49" s="12">
        <f>Tabella5[[#This Row],[psSAR10g_brain (mW/kg)]]*10^3/Tabella5[[#This Row],[Input Power  (mW)]]</f>
        <v/>
      </c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2025-06-24T11:38:28Z</dcterms:created>
  <dcterms:modified xmlns:dcterms="http://purl.org/dc/terms/" xmlns:xsi="http://www.w3.org/2001/XMLSchema-instance" xsi:type="dcterms:W3CDTF">2026-07-23T14:38:43Z</dcterms:modified>
  <cp:lastModifiedBy>SILVIA GALLUCCI</cp:lastModifiedBy>
  <cp:revision>0</cp:revision>
</cp:coreProperties>
</file>

<file path=docProps/custom.xml><?xml version="1.0" encoding="utf-8"?>
<Properties xmlns="http://schemas.openxmlformats.org/officeDocument/2006/custom-properties">
  <property name="ComplianceAssetId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0x010100DC452714B090F848AC60CD5234CDE52F</vt:lpwstr>
  </property>
  <property name="MediaServiceImageTags" fmtid="{D5CDD505-2E9C-101B-9397-08002B2CF9AE}" pid="4">
    <vt:lpwstr xmlns:vt="http://schemas.openxmlformats.org/officeDocument/2006/docPropsVTypes"/>
  </property>
  <property name="Order" fmtid="{D5CDD505-2E9C-101B-9397-08002B2CF9AE}" pid="5">
    <vt:r8 xmlns:vt="http://schemas.openxmlformats.org/officeDocument/2006/docPropsVTypes">330000</vt:r8>
  </property>
  <property name="TriggerFlowInfo" fmtid="{D5CDD505-2E9C-101B-9397-08002B2CF9AE}" pid="6">
    <vt:lpwstr xmlns:vt="http://schemas.openxmlformats.org/officeDocument/2006/docPropsVTypes"/>
  </property>
  <property name="_ExtendedDescription" fmtid="{D5CDD505-2E9C-101B-9397-08002B2CF9AE}" pid="7">
    <vt:lpwstr xmlns:vt="http://schemas.openxmlformats.org/officeDocument/2006/docPropsVTypes"/>
  </property>
</Properties>
</file>