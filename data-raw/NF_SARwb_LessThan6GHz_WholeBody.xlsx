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EH\EMF\ETAIN\06_WP2\SAR\YODA_2026\"/>
    </mc:Choice>
  </mc:AlternateContent>
  <xr:revisionPtr revIDLastSave="0" documentId="13_ncr:1_{E886EE3D-AD59-4595-8798-FD8428EE18B9}" xr6:coauthVersionLast="47" xr6:coauthVersionMax="47" xr10:uidLastSave="{00000000-0000-0000-0000-000000000000}"/>
  <bookViews>
    <workbookView xWindow="-110" yWindow="-110" windowWidth="19420" windowHeight="11500" xr2:uid="{2377D0A3-8AC2-419F-91FD-3253E54C7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2" i="1"/>
  <c r="I6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2" i="1"/>
</calcChain>
</file>

<file path=xl/sharedStrings.xml><?xml version="1.0" encoding="utf-8"?>
<sst xmlns="http://schemas.openxmlformats.org/spreadsheetml/2006/main" count="7" uniqueCount="7">
  <si>
    <t>Scenario</t>
  </si>
  <si>
    <t>Frequency [MHz]</t>
  </si>
  <si>
    <t>Whole Body SARwb, Duke [mW/kg/W]</t>
  </si>
  <si>
    <t>Whole Body SARwb, Ella [mW/kg/W]</t>
  </si>
  <si>
    <t>Accepted power, Duke [mW]</t>
  </si>
  <si>
    <t>Accepted power, Ella [mW]</t>
  </si>
  <si>
    <t>Average (W/kg/W)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</si>
</sst>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4EA0-A54D-4F57-99A1-C56CD28FCFB4}">
  <dimension ref="A1:I68"/>
  <sheetViews>
    <sheetView tabSelected="1" topLeftCell="A53" zoomScale="98" workbookViewId="0">
      <selection activeCell="F71" sqref="F71"/>
    </sheetView>
  </sheetViews>
  <sheetFormatPr defaultRowHeight="14.5" x14ac:dyDescent="0.35"/>
  <cols>
    <col min="2" max="2" width="15.36328125" bestFit="1" customWidth="1"/>
    <col min="3" max="3" width="34.08984375" customWidth="1"/>
    <col min="4" max="4" width="32.7265625" customWidth="1"/>
    <col min="5" max="5" width="25.7265625" customWidth="1"/>
    <col min="6" max="6" width="24.36328125" customWidth="1"/>
    <col min="7" max="8" width="9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 x14ac:dyDescent="0.35">
      <c r="A2">
        <v>1</v>
      </c>
      <c r="B2">
        <v>700</v>
      </c>
      <c r="C2" s="1">
        <v>11.102451343044192</v>
      </c>
      <c r="D2" s="1">
        <v>13.617507949237357</v>
      </c>
      <c r="E2" s="1">
        <v>1.9447056630000001</v>
      </c>
      <c r="F2" s="1">
        <v>1.8913460594999998</v>
      </c>
      <c r="G2" s="1">
        <f>AVERAGE(B2:C2)</f>
        <v>355.5512256715221</v>
      </c>
      <c r="H2" s="1">
        <f>AVERAGE(C2:D2)/1000</f>
        <v>1.2359979646140776E-2</v>
      </c>
    </row>
    <row r="3" spans="1:8" x14ac:dyDescent="0.35">
      <c r="B3">
        <v>800</v>
      </c>
      <c r="C3" s="1">
        <v>11.121905966296371</v>
      </c>
      <c r="D3" s="1">
        <v>13.526182799737077</v>
      </c>
      <c r="E3" s="1">
        <v>1.8848109365000001</v>
      </c>
      <c r="F3" s="1">
        <v>1.801127514</v>
      </c>
      <c r="G3" s="1">
        <f t="shared" ref="G3:G66" si="0">AVERAGE(B3:C3)</f>
        <v>405.56095298314818</v>
      </c>
      <c r="H3" s="1">
        <f t="shared" ref="H3:H66" si="1">AVERAGE(C3:D3)/1000</f>
        <v>1.2324044383016724E-2</v>
      </c>
    </row>
    <row r="4" spans="1:8" x14ac:dyDescent="0.35">
      <c r="B4">
        <v>900</v>
      </c>
      <c r="C4" s="1">
        <v>11.225087633815424</v>
      </c>
      <c r="D4" s="1">
        <v>13.383357129392433</v>
      </c>
      <c r="E4" s="1">
        <v>1.884697981</v>
      </c>
      <c r="F4" s="1">
        <v>1.7632653579999999</v>
      </c>
      <c r="G4" s="1">
        <f t="shared" si="0"/>
        <v>455.6125438169077</v>
      </c>
      <c r="H4" s="1">
        <f t="shared" si="1"/>
        <v>1.2304222381603929E-2</v>
      </c>
    </row>
    <row r="5" spans="1:8" x14ac:dyDescent="0.35">
      <c r="B5">
        <v>1800</v>
      </c>
      <c r="C5" s="1">
        <v>10.04811467474582</v>
      </c>
      <c r="D5" s="1">
        <v>12.129671296448414</v>
      </c>
      <c r="E5" s="1">
        <v>1.659507633</v>
      </c>
      <c r="F5" s="1">
        <v>1.6432728895000002</v>
      </c>
      <c r="G5" s="1">
        <f t="shared" si="0"/>
        <v>905.02405733737294</v>
      </c>
      <c r="H5" s="1">
        <f t="shared" si="1"/>
        <v>1.1088892985597116E-2</v>
      </c>
    </row>
    <row r="6" spans="1:8" x14ac:dyDescent="0.35">
      <c r="B6">
        <v>2100</v>
      </c>
      <c r="C6" s="1">
        <v>9.4796408563154628</v>
      </c>
      <c r="D6" s="1">
        <v>11.607778206125078</v>
      </c>
      <c r="E6" s="1">
        <v>1.4779599999999999</v>
      </c>
      <c r="F6" s="1">
        <v>1.53043</v>
      </c>
      <c r="G6" s="1">
        <f t="shared" si="0"/>
        <v>1054.7398204281578</v>
      </c>
      <c r="H6" s="1">
        <f t="shared" si="1"/>
        <v>1.0543709531220269E-2</v>
      </c>
    </row>
    <row r="7" spans="1:8" x14ac:dyDescent="0.35">
      <c r="B7">
        <v>2450</v>
      </c>
      <c r="C7" s="1">
        <v>9.0215670244076449</v>
      </c>
      <c r="D7" s="1">
        <v>11.023977976129407</v>
      </c>
      <c r="E7" s="1">
        <v>1.34548</v>
      </c>
      <c r="F7" s="1">
        <v>1.4620499999999998</v>
      </c>
      <c r="G7" s="1">
        <f t="shared" si="0"/>
        <v>1229.5107835122037</v>
      </c>
      <c r="H7" s="1">
        <f t="shared" si="1"/>
        <v>1.0022772500268527E-2</v>
      </c>
    </row>
    <row r="8" spans="1:8" x14ac:dyDescent="0.35">
      <c r="B8">
        <v>2600</v>
      </c>
      <c r="C8" s="1">
        <v>8.8416357668226855</v>
      </c>
      <c r="D8" s="1">
        <v>10.900710271138287</v>
      </c>
      <c r="E8" s="1">
        <v>1.3160800000000001</v>
      </c>
      <c r="F8" s="1">
        <v>1.45719</v>
      </c>
      <c r="G8" s="1">
        <f t="shared" si="0"/>
        <v>1304.4208178834112</v>
      </c>
      <c r="H8" s="1">
        <f t="shared" si="1"/>
        <v>9.871173018980486E-3</v>
      </c>
    </row>
    <row r="9" spans="1:8" x14ac:dyDescent="0.35">
      <c r="B9">
        <v>3500</v>
      </c>
      <c r="C9" s="1">
        <v>7.9021615369206009</v>
      </c>
      <c r="D9" s="1">
        <v>10.713660994218815</v>
      </c>
      <c r="E9" s="1">
        <v>1.5475099999999999</v>
      </c>
      <c r="F9" s="1">
        <v>1.65537</v>
      </c>
      <c r="G9" s="1">
        <f t="shared" si="0"/>
        <v>1753.9510807684603</v>
      </c>
      <c r="H9" s="1">
        <f t="shared" si="1"/>
        <v>9.3079112655697072E-3</v>
      </c>
    </row>
    <row r="10" spans="1:8" x14ac:dyDescent="0.35">
      <c r="B10">
        <v>5000</v>
      </c>
      <c r="C10" s="1">
        <v>4.9229917224823847</v>
      </c>
      <c r="D10" s="1">
        <v>8.1540524170064064</v>
      </c>
      <c r="E10" s="1">
        <v>1.6079700000000001</v>
      </c>
      <c r="F10" s="1">
        <v>1.7170000000000001</v>
      </c>
      <c r="G10" s="1">
        <f t="shared" si="0"/>
        <v>2502.461495861241</v>
      </c>
      <c r="H10" s="1">
        <f t="shared" si="1"/>
        <v>6.5385220697443958E-3</v>
      </c>
    </row>
    <row r="11" spans="1:8" x14ac:dyDescent="0.35">
      <c r="C11" s="1"/>
      <c r="D11" s="1"/>
      <c r="E11" s="1"/>
      <c r="F11" s="1"/>
      <c r="G11" s="1" t="e">
        <f t="shared" si="0"/>
        <v>#DIV/0!</v>
      </c>
      <c r="H11" s="1" t="e">
        <f t="shared" si="1"/>
        <v>#DIV/0!</v>
      </c>
    </row>
    <row r="12" spans="1:8" x14ac:dyDescent="0.35">
      <c r="A12">
        <v>2</v>
      </c>
      <c r="B12">
        <v>700</v>
      </c>
      <c r="C12" s="1">
        <v>2.1675157948202317</v>
      </c>
      <c r="D12" s="1">
        <v>2.9575768129599944</v>
      </c>
      <c r="E12" s="1">
        <v>1.92943</v>
      </c>
      <c r="F12" s="1">
        <v>1.9524699999999999</v>
      </c>
      <c r="G12" s="1">
        <f t="shared" si="0"/>
        <v>351.08375789741012</v>
      </c>
      <c r="H12" s="1">
        <f t="shared" si="1"/>
        <v>2.5625463038901133E-3</v>
      </c>
    </row>
    <row r="13" spans="1:8" x14ac:dyDescent="0.35">
      <c r="B13">
        <v>800</v>
      </c>
      <c r="C13" s="1">
        <v>2.1472813214103113</v>
      </c>
      <c r="D13" s="1">
        <v>3.0534846279274324</v>
      </c>
      <c r="E13" s="1">
        <v>1.9167399999999999</v>
      </c>
      <c r="F13" s="1">
        <v>1.94411</v>
      </c>
      <c r="G13" s="1">
        <f t="shared" si="0"/>
        <v>401.07364066070517</v>
      </c>
      <c r="H13" s="1">
        <f t="shared" si="1"/>
        <v>2.6003829746688717E-3</v>
      </c>
    </row>
    <row r="14" spans="1:8" x14ac:dyDescent="0.35">
      <c r="B14">
        <v>900</v>
      </c>
      <c r="C14" s="1">
        <v>2.0711149855060285</v>
      </c>
      <c r="D14" s="1">
        <v>2.9836797801065109</v>
      </c>
      <c r="E14" s="1">
        <v>1.9042399999999999</v>
      </c>
      <c r="F14" s="1">
        <v>1.92093</v>
      </c>
      <c r="G14" s="1">
        <f t="shared" si="0"/>
        <v>451.03555749275301</v>
      </c>
      <c r="H14" s="1">
        <f t="shared" si="1"/>
        <v>2.52739738280627E-3</v>
      </c>
    </row>
    <row r="15" spans="1:8" x14ac:dyDescent="0.35">
      <c r="B15">
        <v>1800</v>
      </c>
      <c r="C15" s="1">
        <v>1.8015663400059148</v>
      </c>
      <c r="D15" s="1">
        <v>2.3761474999095951</v>
      </c>
      <c r="E15" s="1">
        <v>1.9612599999999998</v>
      </c>
      <c r="F15" s="1">
        <v>1.9357300000000002</v>
      </c>
      <c r="G15" s="1">
        <f t="shared" si="0"/>
        <v>900.90078317000291</v>
      </c>
      <c r="H15" s="1">
        <f t="shared" si="1"/>
        <v>2.088856919957755E-3</v>
      </c>
    </row>
    <row r="16" spans="1:8" x14ac:dyDescent="0.35">
      <c r="B16">
        <v>2100</v>
      </c>
      <c r="C16" s="1">
        <v>1.716142423097428</v>
      </c>
      <c r="D16" s="1">
        <v>2.1279083124477864</v>
      </c>
      <c r="E16" s="1">
        <v>1.9319899999999999</v>
      </c>
      <c r="F16" s="1">
        <v>1.9152</v>
      </c>
      <c r="G16" s="1">
        <f t="shared" si="0"/>
        <v>1050.8580712115488</v>
      </c>
      <c r="H16" s="1">
        <f t="shared" si="1"/>
        <v>1.922025367772607E-3</v>
      </c>
    </row>
    <row r="17" spans="1:8" x14ac:dyDescent="0.35">
      <c r="B17">
        <v>2450</v>
      </c>
      <c r="C17" s="1">
        <v>1.5013489856863351</v>
      </c>
      <c r="D17" s="1">
        <v>2.0236412890981721</v>
      </c>
      <c r="E17" s="1">
        <v>1.9422000000000001</v>
      </c>
      <c r="F17" s="1">
        <v>1.9601299999999999</v>
      </c>
      <c r="G17" s="1">
        <f t="shared" si="0"/>
        <v>1225.7506744928432</v>
      </c>
      <c r="H17" s="1">
        <f t="shared" si="1"/>
        <v>1.7624951373922536E-3</v>
      </c>
    </row>
    <row r="18" spans="1:8" x14ac:dyDescent="0.35">
      <c r="B18">
        <v>2600</v>
      </c>
      <c r="C18" s="1">
        <v>1.4483766796043316</v>
      </c>
      <c r="D18" s="1">
        <v>1.973964791738662</v>
      </c>
      <c r="E18" s="1">
        <v>1.96326</v>
      </c>
      <c r="F18" s="1">
        <v>1.9677200000000001</v>
      </c>
      <c r="G18" s="1">
        <f t="shared" si="0"/>
        <v>1300.7241883398021</v>
      </c>
      <c r="H18" s="1">
        <f t="shared" si="1"/>
        <v>1.7111707356714967E-3</v>
      </c>
    </row>
    <row r="19" spans="1:8" x14ac:dyDescent="0.35">
      <c r="B19">
        <v>3500</v>
      </c>
      <c r="C19" s="1">
        <v>1.3266585356100291</v>
      </c>
      <c r="D19" s="1">
        <v>1.8089582011061742</v>
      </c>
      <c r="E19" s="1">
        <v>2.0005600000000001</v>
      </c>
      <c r="F19" s="1">
        <v>1.9852200000000002</v>
      </c>
      <c r="G19" s="1">
        <f t="shared" si="0"/>
        <v>1750.663329267805</v>
      </c>
      <c r="H19" s="1">
        <f t="shared" si="1"/>
        <v>1.5678083683581016E-3</v>
      </c>
    </row>
    <row r="20" spans="1:8" x14ac:dyDescent="0.35">
      <c r="B20">
        <v>5000</v>
      </c>
      <c r="C20" s="1">
        <v>1.0606151581475527</v>
      </c>
      <c r="D20" s="1">
        <v>1.4823447968707644</v>
      </c>
      <c r="E20" s="1">
        <v>2.0651600000000001</v>
      </c>
      <c r="F20" s="1">
        <v>2.06568</v>
      </c>
      <c r="G20" s="1">
        <f t="shared" si="0"/>
        <v>2500.5303075790739</v>
      </c>
      <c r="H20" s="1">
        <f t="shared" si="1"/>
        <v>1.2714799775091585E-3</v>
      </c>
    </row>
    <row r="21" spans="1:8" x14ac:dyDescent="0.35">
      <c r="C21" s="1"/>
      <c r="D21" s="1"/>
      <c r="E21" s="1"/>
      <c r="F21" s="1"/>
      <c r="G21" s="1" t="e">
        <f t="shared" si="0"/>
        <v>#DIV/0!</v>
      </c>
      <c r="H21" s="1" t="e">
        <f t="shared" si="1"/>
        <v>#DIV/0!</v>
      </c>
    </row>
    <row r="22" spans="1:8" x14ac:dyDescent="0.35">
      <c r="A22">
        <v>3</v>
      </c>
      <c r="B22">
        <v>700</v>
      </c>
      <c r="C22" s="1">
        <v>0.92681656086395714</v>
      </c>
      <c r="D22" s="1">
        <v>1.3024413912865827</v>
      </c>
      <c r="E22" s="1">
        <v>1.97695</v>
      </c>
      <c r="F22" s="1">
        <v>1.9578999999999998</v>
      </c>
      <c r="G22" s="1">
        <f t="shared" si="0"/>
        <v>350.46340828043196</v>
      </c>
      <c r="H22" s="1">
        <f t="shared" si="1"/>
        <v>1.11462897607527E-3</v>
      </c>
    </row>
    <row r="23" spans="1:8" x14ac:dyDescent="0.35">
      <c r="B23">
        <v>800</v>
      </c>
      <c r="C23" s="1">
        <v>0.95390428085366519</v>
      </c>
      <c r="D23" s="1">
        <v>1.374818688736869</v>
      </c>
      <c r="E23" s="1">
        <v>1.99563</v>
      </c>
      <c r="F23" s="1">
        <v>1.9924299999999999</v>
      </c>
      <c r="G23" s="1">
        <f t="shared" si="0"/>
        <v>400.47695214042682</v>
      </c>
      <c r="H23" s="1">
        <f t="shared" si="1"/>
        <v>1.1643614847952671E-3</v>
      </c>
    </row>
    <row r="24" spans="1:8" x14ac:dyDescent="0.35">
      <c r="B24">
        <v>900</v>
      </c>
      <c r="C24" s="1">
        <v>0.96012123307873021</v>
      </c>
      <c r="D24" s="1">
        <v>1.424744286500043</v>
      </c>
      <c r="E24" s="1">
        <v>1.9664600000000001</v>
      </c>
      <c r="F24" s="1">
        <v>1.9817099999999999</v>
      </c>
      <c r="G24" s="1">
        <f t="shared" si="0"/>
        <v>450.48006061653939</v>
      </c>
      <c r="H24" s="1">
        <f t="shared" si="1"/>
        <v>1.1924327597893866E-3</v>
      </c>
    </row>
    <row r="25" spans="1:8" x14ac:dyDescent="0.35">
      <c r="B25">
        <v>1800</v>
      </c>
      <c r="C25" s="1">
        <v>0.83788290513833985</v>
      </c>
      <c r="D25" s="1">
        <v>1.0677123282667793</v>
      </c>
      <c r="E25" s="1">
        <v>1.9430400000000001</v>
      </c>
      <c r="F25" s="1">
        <v>1.91649</v>
      </c>
      <c r="G25" s="1">
        <f t="shared" si="0"/>
        <v>900.41894145256913</v>
      </c>
      <c r="H25" s="1">
        <f t="shared" si="1"/>
        <v>9.5279761670255959E-4</v>
      </c>
    </row>
    <row r="26" spans="1:8" x14ac:dyDescent="0.35">
      <c r="B26">
        <v>2100</v>
      </c>
      <c r="C26" s="1">
        <v>0.82534411544650454</v>
      </c>
      <c r="D26" s="1">
        <v>1.0366667847724524</v>
      </c>
      <c r="E26" s="1">
        <v>1.9513799999999999</v>
      </c>
      <c r="F26" s="1">
        <v>1.97563</v>
      </c>
      <c r="G26" s="1">
        <f t="shared" si="0"/>
        <v>1050.4126720577233</v>
      </c>
      <c r="H26" s="1">
        <f t="shared" si="1"/>
        <v>9.3100545010947849E-4</v>
      </c>
    </row>
    <row r="27" spans="1:8" x14ac:dyDescent="0.35">
      <c r="B27">
        <v>2450</v>
      </c>
      <c r="C27" s="1">
        <v>0.77615822436198201</v>
      </c>
      <c r="D27" s="1">
        <v>0.95007628497236574</v>
      </c>
      <c r="E27" s="1">
        <v>1.9607600000000003</v>
      </c>
      <c r="F27" s="1">
        <v>1.97942</v>
      </c>
      <c r="G27" s="1">
        <f t="shared" si="0"/>
        <v>1225.388079112181</v>
      </c>
      <c r="H27" s="1">
        <f t="shared" si="1"/>
        <v>8.631172546671739E-4</v>
      </c>
    </row>
    <row r="28" spans="1:8" x14ac:dyDescent="0.35">
      <c r="B28">
        <v>2600</v>
      </c>
      <c r="C28" s="1">
        <v>0.74949094850728892</v>
      </c>
      <c r="D28" s="1">
        <v>0.94499319147206473</v>
      </c>
      <c r="E28" s="1">
        <v>1.9742599999999999</v>
      </c>
      <c r="F28" s="1">
        <v>1.9681199999999999</v>
      </c>
      <c r="G28" s="1">
        <f t="shared" si="0"/>
        <v>1300.3747454742536</v>
      </c>
      <c r="H28" s="1">
        <f t="shared" si="1"/>
        <v>8.4724206998967682E-4</v>
      </c>
    </row>
    <row r="29" spans="1:8" x14ac:dyDescent="0.35">
      <c r="B29">
        <v>3500</v>
      </c>
      <c r="C29" s="1">
        <v>0.65137756116968371</v>
      </c>
      <c r="D29" s="1">
        <v>0.80117464760571833</v>
      </c>
      <c r="E29" s="1">
        <v>2.0108000000000001</v>
      </c>
      <c r="F29" s="1">
        <v>2.0005999999999999</v>
      </c>
      <c r="G29" s="1">
        <f t="shared" si="0"/>
        <v>1750.3256887805849</v>
      </c>
      <c r="H29" s="1">
        <f t="shared" si="1"/>
        <v>7.2627610438770105E-4</v>
      </c>
    </row>
    <row r="30" spans="1:8" x14ac:dyDescent="0.35">
      <c r="B30">
        <v>5000</v>
      </c>
      <c r="C30" s="1">
        <v>0.48286184558816447</v>
      </c>
      <c r="D30" s="1">
        <v>0.62440399724792262</v>
      </c>
      <c r="E30" s="1">
        <v>2.07782</v>
      </c>
      <c r="F30" s="1">
        <v>2.07843</v>
      </c>
      <c r="G30" s="1">
        <f t="shared" si="0"/>
        <v>2500.2414309227943</v>
      </c>
      <c r="H30" s="1">
        <f t="shared" si="1"/>
        <v>5.5363292141804351E-4</v>
      </c>
    </row>
    <row r="31" spans="1:8" x14ac:dyDescent="0.35">
      <c r="C31" s="1"/>
      <c r="D31" s="1"/>
      <c r="E31" s="1"/>
      <c r="F31" s="1"/>
      <c r="G31" s="1" t="e">
        <f t="shared" si="0"/>
        <v>#DIV/0!</v>
      </c>
      <c r="H31" s="1" t="e">
        <f t="shared" si="1"/>
        <v>#DIV/0!</v>
      </c>
    </row>
    <row r="32" spans="1:8" x14ac:dyDescent="0.35">
      <c r="A32">
        <v>4</v>
      </c>
      <c r="B32">
        <v>700</v>
      </c>
      <c r="C32" s="1">
        <v>11.320717355354208</v>
      </c>
      <c r="D32" s="1">
        <v>12.970126626321871</v>
      </c>
      <c r="E32" s="1">
        <v>1.86853</v>
      </c>
      <c r="F32" s="1">
        <v>1.6094600000000001</v>
      </c>
      <c r="G32" s="1">
        <f t="shared" si="0"/>
        <v>355.6603586776771</v>
      </c>
      <c r="H32" s="1">
        <f t="shared" si="1"/>
        <v>1.214542199083804E-2</v>
      </c>
    </row>
    <row r="33" spans="1:8" x14ac:dyDescent="0.35">
      <c r="B33">
        <v>800</v>
      </c>
      <c r="C33" s="1">
        <v>10.940416970893983</v>
      </c>
      <c r="D33" s="1">
        <v>12.576712729094476</v>
      </c>
      <c r="E33" s="1">
        <v>1.9037299999999999</v>
      </c>
      <c r="F33" s="1">
        <v>1.6767100000000001</v>
      </c>
      <c r="G33" s="1">
        <f t="shared" si="0"/>
        <v>405.47020848544702</v>
      </c>
      <c r="H33" s="1">
        <f t="shared" si="1"/>
        <v>1.1758564849994229E-2</v>
      </c>
    </row>
    <row r="34" spans="1:8" x14ac:dyDescent="0.35">
      <c r="B34">
        <v>900</v>
      </c>
      <c r="C34" s="1">
        <v>10.558823375904884</v>
      </c>
      <c r="D34" s="1">
        <v>12.275148600737037</v>
      </c>
      <c r="E34" s="1">
        <v>1.9159900000000001</v>
      </c>
      <c r="F34" s="1">
        <v>1.7176899999999999</v>
      </c>
      <c r="G34" s="1">
        <f t="shared" si="0"/>
        <v>455.27941168795246</v>
      </c>
      <c r="H34" s="1">
        <f t="shared" si="1"/>
        <v>1.1416985988320959E-2</v>
      </c>
    </row>
    <row r="35" spans="1:8" x14ac:dyDescent="0.35">
      <c r="B35">
        <v>1800</v>
      </c>
      <c r="C35" s="1">
        <v>7.672295284791276</v>
      </c>
      <c r="D35" s="1">
        <v>9.0191257437172538</v>
      </c>
      <c r="E35" s="1">
        <v>1.7458400000000001</v>
      </c>
      <c r="F35" s="1">
        <v>1.8017599999999998</v>
      </c>
      <c r="G35" s="1">
        <f t="shared" si="0"/>
        <v>903.83614764239564</v>
      </c>
      <c r="H35" s="1">
        <f t="shared" si="1"/>
        <v>8.3457105142542651E-3</v>
      </c>
    </row>
    <row r="36" spans="1:8" x14ac:dyDescent="0.35">
      <c r="B36">
        <v>2100</v>
      </c>
      <c r="C36" s="1">
        <v>7.1247566740823132</v>
      </c>
      <c r="D36" s="1">
        <v>7.7830698441347197</v>
      </c>
      <c r="E36" s="1">
        <v>1.7260800000000001</v>
      </c>
      <c r="F36" s="1">
        <v>1.79514</v>
      </c>
      <c r="G36" s="1">
        <f t="shared" si="0"/>
        <v>1053.5623783370411</v>
      </c>
      <c r="H36" s="1">
        <f t="shared" si="1"/>
        <v>7.4539132591085163E-3</v>
      </c>
    </row>
    <row r="37" spans="1:8" x14ac:dyDescent="0.35">
      <c r="B37">
        <v>2450</v>
      </c>
      <c r="C37" s="1">
        <v>6.382584279460751</v>
      </c>
      <c r="D37" s="1">
        <v>6.1737018263095775</v>
      </c>
      <c r="E37" s="1">
        <v>1.72017</v>
      </c>
      <c r="F37" s="1">
        <v>1.7538099999999999</v>
      </c>
      <c r="G37" s="1">
        <f t="shared" si="0"/>
        <v>1228.1912921397304</v>
      </c>
      <c r="H37" s="1">
        <f t="shared" si="1"/>
        <v>6.2781430528851649E-3</v>
      </c>
    </row>
    <row r="38" spans="1:8" x14ac:dyDescent="0.35">
      <c r="B38">
        <v>2600</v>
      </c>
      <c r="C38" s="1">
        <v>6.1042391153150648</v>
      </c>
      <c r="D38" s="1">
        <v>5.5363884499353535</v>
      </c>
      <c r="E38" s="1">
        <v>1.72536</v>
      </c>
      <c r="F38" s="1">
        <v>1.7402500000000001</v>
      </c>
      <c r="G38" s="1">
        <f t="shared" si="0"/>
        <v>1303.0521195576575</v>
      </c>
      <c r="H38" s="1">
        <f t="shared" si="1"/>
        <v>5.82031378262521E-3</v>
      </c>
    </row>
    <row r="39" spans="1:8" x14ac:dyDescent="0.35">
      <c r="B39">
        <v>3500</v>
      </c>
      <c r="C39" s="1">
        <v>4.8477381954826919</v>
      </c>
      <c r="D39" s="1">
        <v>3.3211987674740011</v>
      </c>
      <c r="E39" s="1">
        <v>1.74573</v>
      </c>
      <c r="F39" s="1">
        <v>1.7654799999999999</v>
      </c>
      <c r="G39" s="1">
        <f t="shared" si="0"/>
        <v>1752.4238690977413</v>
      </c>
      <c r="H39" s="1">
        <f t="shared" si="1"/>
        <v>4.0844684814783459E-3</v>
      </c>
    </row>
    <row r="40" spans="1:8" x14ac:dyDescent="0.35">
      <c r="B40">
        <v>5000</v>
      </c>
      <c r="C40" s="1">
        <v>2.5842679974307035</v>
      </c>
      <c r="D40" s="1">
        <v>2.3625076822426201</v>
      </c>
      <c r="E40" s="1">
        <v>1.82151</v>
      </c>
      <c r="F40" s="1">
        <v>2.0176399999999997</v>
      </c>
      <c r="G40" s="1">
        <f t="shared" si="0"/>
        <v>2501.2921339987151</v>
      </c>
      <c r="H40" s="1">
        <f t="shared" si="1"/>
        <v>2.4733878398366617E-3</v>
      </c>
    </row>
    <row r="41" spans="1:8" x14ac:dyDescent="0.35">
      <c r="C41" s="1"/>
      <c r="D41" s="1"/>
      <c r="E41" s="1"/>
      <c r="F41" s="1"/>
      <c r="G41" s="1" t="e">
        <f t="shared" si="0"/>
        <v>#DIV/0!</v>
      </c>
      <c r="H41" s="1" t="e">
        <f t="shared" si="1"/>
        <v>#DIV/0!</v>
      </c>
    </row>
    <row r="42" spans="1:8" x14ac:dyDescent="0.35">
      <c r="A42">
        <v>5</v>
      </c>
      <c r="B42">
        <v>700</v>
      </c>
      <c r="C42" s="1">
        <v>8.6581267697388373</v>
      </c>
      <c r="D42" s="1">
        <v>11.388764749241135</v>
      </c>
      <c r="E42" s="1">
        <v>1.55037</v>
      </c>
      <c r="F42" s="1">
        <v>1.7229700000000001</v>
      </c>
      <c r="G42" s="1">
        <f t="shared" si="0"/>
        <v>354.32906338486941</v>
      </c>
      <c r="H42" s="1">
        <f t="shared" si="1"/>
        <v>1.0023445759489985E-2</v>
      </c>
    </row>
    <row r="43" spans="1:8" x14ac:dyDescent="0.35">
      <c r="B43">
        <v>800</v>
      </c>
      <c r="C43" s="1">
        <v>8.7294891774891781</v>
      </c>
      <c r="D43" s="1">
        <v>12.001255762846862</v>
      </c>
      <c r="E43" s="1">
        <v>1.4437499999999999</v>
      </c>
      <c r="F43" s="1">
        <v>1.72007</v>
      </c>
      <c r="G43" s="1">
        <f t="shared" si="0"/>
        <v>404.3647445887446</v>
      </c>
      <c r="H43" s="1">
        <f t="shared" si="1"/>
        <v>1.0365372470168019E-2</v>
      </c>
    </row>
    <row r="44" spans="1:8" x14ac:dyDescent="0.35">
      <c r="B44">
        <v>900</v>
      </c>
      <c r="C44" s="1">
        <v>8.4766824528121631</v>
      </c>
      <c r="D44" s="1">
        <v>12.092451105418185</v>
      </c>
      <c r="E44" s="1">
        <v>1.4654199999999999</v>
      </c>
      <c r="F44" s="1">
        <v>1.7721799999999999</v>
      </c>
      <c r="G44" s="1">
        <f t="shared" si="0"/>
        <v>454.23834122640608</v>
      </c>
      <c r="H44" s="1">
        <f t="shared" si="1"/>
        <v>1.0284566779115174E-2</v>
      </c>
    </row>
    <row r="45" spans="1:8" x14ac:dyDescent="0.35">
      <c r="B45">
        <v>1800</v>
      </c>
      <c r="C45" s="1">
        <v>7.9498708201467743</v>
      </c>
      <c r="D45" s="1">
        <v>7.6394677090219298</v>
      </c>
      <c r="E45" s="1">
        <v>1.8927099999999999</v>
      </c>
      <c r="F45" s="1">
        <v>1.7396499999999999</v>
      </c>
      <c r="G45" s="1">
        <f t="shared" si="0"/>
        <v>903.97493541007339</v>
      </c>
      <c r="H45" s="1">
        <f t="shared" si="1"/>
        <v>7.7946692645843516E-3</v>
      </c>
    </row>
    <row r="46" spans="1:8" x14ac:dyDescent="0.35">
      <c r="B46">
        <v>2100</v>
      </c>
      <c r="C46" s="1">
        <v>7.7665742004608633</v>
      </c>
      <c r="D46" s="1">
        <v>7.4501880392301443</v>
      </c>
      <c r="E46" s="1">
        <v>2.04399</v>
      </c>
      <c r="F46" s="1">
        <v>2.0341500000000003</v>
      </c>
      <c r="G46" s="1">
        <f t="shared" si="0"/>
        <v>1053.8832871002305</v>
      </c>
      <c r="H46" s="1">
        <f t="shared" si="1"/>
        <v>7.6083811198455042E-3</v>
      </c>
    </row>
    <row r="47" spans="1:8" x14ac:dyDescent="0.35">
      <c r="B47">
        <v>2450</v>
      </c>
      <c r="C47" s="1">
        <v>7.0912467171033571</v>
      </c>
      <c r="D47" s="1">
        <v>7.119889799884894</v>
      </c>
      <c r="E47" s="1">
        <v>2.10561</v>
      </c>
      <c r="F47" s="1">
        <v>2.11978</v>
      </c>
      <c r="G47" s="1">
        <f t="shared" si="0"/>
        <v>1228.5456233585517</v>
      </c>
      <c r="H47" s="1">
        <f t="shared" si="1"/>
        <v>7.1055682584941259E-3</v>
      </c>
    </row>
    <row r="48" spans="1:8" x14ac:dyDescent="0.35">
      <c r="B48">
        <v>2600</v>
      </c>
      <c r="C48" s="1">
        <v>6.7633574703286348</v>
      </c>
      <c r="D48" s="1">
        <v>6.8718320398721753</v>
      </c>
      <c r="E48" s="1">
        <v>2.1005099999999999</v>
      </c>
      <c r="F48" s="1">
        <v>2.12479</v>
      </c>
      <c r="G48" s="1">
        <f t="shared" si="0"/>
        <v>1303.3816787351643</v>
      </c>
      <c r="H48" s="1">
        <f t="shared" si="1"/>
        <v>6.8175947551004047E-3</v>
      </c>
    </row>
    <row r="49" spans="1:9" x14ac:dyDescent="0.35">
      <c r="B49">
        <v>3500</v>
      </c>
      <c r="C49" s="1">
        <v>5.8668691858829778</v>
      </c>
      <c r="D49" s="1">
        <v>6.4786532190793968</v>
      </c>
      <c r="E49" s="1">
        <v>1.9553700000000001</v>
      </c>
      <c r="F49" s="1">
        <v>1.9780499999999999</v>
      </c>
      <c r="G49" s="1">
        <f t="shared" si="0"/>
        <v>1752.9334345929415</v>
      </c>
      <c r="H49" s="1">
        <f t="shared" si="1"/>
        <v>6.1727612024811869E-3</v>
      </c>
    </row>
    <row r="50" spans="1:9" x14ac:dyDescent="0.35">
      <c r="B50">
        <v>5000</v>
      </c>
      <c r="C50" s="1">
        <v>5.0043839505657379</v>
      </c>
      <c r="D50" s="1">
        <v>5.9201644903636383</v>
      </c>
      <c r="E50" s="1">
        <v>2.1555900000000001</v>
      </c>
      <c r="F50" s="1">
        <v>2.14967</v>
      </c>
      <c r="G50" s="1">
        <f t="shared" si="0"/>
        <v>2502.502191975283</v>
      </c>
      <c r="H50" s="1">
        <f t="shared" si="1"/>
        <v>5.4622742204646878E-3</v>
      </c>
    </row>
    <row r="51" spans="1:9" x14ac:dyDescent="0.35">
      <c r="C51" s="1"/>
      <c r="D51" s="1"/>
      <c r="E51" s="1"/>
      <c r="F51" s="1"/>
      <c r="G51" s="1" t="e">
        <f t="shared" si="0"/>
        <v>#DIV/0!</v>
      </c>
      <c r="H51" s="1" t="e">
        <f t="shared" si="1"/>
        <v>#DIV/0!</v>
      </c>
    </row>
    <row r="52" spans="1:9" x14ac:dyDescent="0.35">
      <c r="A52">
        <v>6</v>
      </c>
      <c r="B52">
        <v>700</v>
      </c>
      <c r="C52" s="1">
        <v>4.194839599361301</v>
      </c>
      <c r="D52" s="1">
        <v>4.278528076707298</v>
      </c>
      <c r="E52" s="1">
        <v>1.92892</v>
      </c>
      <c r="F52" s="1">
        <v>1.9607000000000001</v>
      </c>
      <c r="G52" s="1">
        <f t="shared" si="0"/>
        <v>352.09741979968067</v>
      </c>
      <c r="H52" s="1">
        <f t="shared" si="1"/>
        <v>4.2366838380342988E-3</v>
      </c>
    </row>
    <row r="53" spans="1:9" x14ac:dyDescent="0.35">
      <c r="B53">
        <v>800</v>
      </c>
      <c r="C53" s="1">
        <v>4.3804799584900769</v>
      </c>
      <c r="D53" s="1">
        <v>4.682705902459487</v>
      </c>
      <c r="E53" s="1">
        <v>1.9272499999999999</v>
      </c>
      <c r="F53" s="1">
        <v>1.93089</v>
      </c>
      <c r="G53" s="1">
        <f t="shared" si="0"/>
        <v>402.19023997924506</v>
      </c>
      <c r="H53" s="1">
        <f t="shared" si="1"/>
        <v>4.5315929304747815E-3</v>
      </c>
    </row>
    <row r="54" spans="1:9" x14ac:dyDescent="0.35">
      <c r="B54">
        <v>900</v>
      </c>
      <c r="C54" s="1">
        <v>4.1965321511435194</v>
      </c>
      <c r="D54" s="1">
        <v>4.6638550405928507</v>
      </c>
      <c r="E54" s="1">
        <v>1.9308800000000002</v>
      </c>
      <c r="F54" s="1">
        <v>1.9917300000000002</v>
      </c>
      <c r="G54" s="1">
        <f t="shared" si="0"/>
        <v>452.09826607557176</v>
      </c>
      <c r="H54" s="1">
        <f t="shared" si="1"/>
        <v>4.4301935958681853E-3</v>
      </c>
    </row>
    <row r="55" spans="1:9" x14ac:dyDescent="0.35">
      <c r="B55">
        <v>1800</v>
      </c>
      <c r="C55" s="1">
        <v>3.0413646383349571</v>
      </c>
      <c r="D55" s="1">
        <v>3.7761670873988589</v>
      </c>
      <c r="E55" s="1">
        <v>1.9507000000000001</v>
      </c>
      <c r="F55" s="1">
        <v>1.9687900000000003</v>
      </c>
      <c r="G55" s="1">
        <f t="shared" si="0"/>
        <v>901.52068231916746</v>
      </c>
      <c r="H55" s="1">
        <f t="shared" si="1"/>
        <v>3.4087658628669079E-3</v>
      </c>
    </row>
    <row r="56" spans="1:9" x14ac:dyDescent="0.35">
      <c r="B56">
        <v>2100</v>
      </c>
      <c r="C56" s="1">
        <v>2.9739050115587844</v>
      </c>
      <c r="D56" s="1">
        <v>3.451849663344166</v>
      </c>
      <c r="E56" s="1">
        <v>1.9379200000000001</v>
      </c>
      <c r="F56" s="1">
        <v>1.92927</v>
      </c>
      <c r="G56" s="1">
        <f t="shared" si="0"/>
        <v>1051.4869525057793</v>
      </c>
      <c r="H56" s="1">
        <f t="shared" si="1"/>
        <v>3.2128773374514755E-3</v>
      </c>
    </row>
    <row r="57" spans="1:9" x14ac:dyDescent="0.35">
      <c r="B57">
        <v>2450</v>
      </c>
      <c r="C57" s="1">
        <v>2.8085718261514909</v>
      </c>
      <c r="D57" s="1">
        <v>3.5596629689485826</v>
      </c>
      <c r="E57" s="1">
        <v>1.94031</v>
      </c>
      <c r="F57" s="1">
        <v>1.9119899999999999</v>
      </c>
      <c r="G57" s="1">
        <f t="shared" si="0"/>
        <v>1226.4042859130757</v>
      </c>
      <c r="H57" s="1">
        <f t="shared" si="1"/>
        <v>3.1841173975500369E-3</v>
      </c>
    </row>
    <row r="58" spans="1:9" x14ac:dyDescent="0.35">
      <c r="B58">
        <v>2600</v>
      </c>
      <c r="C58" s="1">
        <v>2.8060487216230485</v>
      </c>
      <c r="D58" s="1">
        <v>3.3447087883515341</v>
      </c>
      <c r="E58" s="1">
        <v>1.98885</v>
      </c>
      <c r="F58" s="1">
        <v>1.9999200000000001</v>
      </c>
      <c r="G58" s="1">
        <f t="shared" si="0"/>
        <v>1301.4030243608115</v>
      </c>
      <c r="H58" s="1">
        <f t="shared" si="1"/>
        <v>3.0753787549872911E-3</v>
      </c>
    </row>
    <row r="59" spans="1:9" x14ac:dyDescent="0.35">
      <c r="B59">
        <v>3500</v>
      </c>
      <c r="C59" s="1">
        <v>2.2606779237023136</v>
      </c>
      <c r="D59" s="1">
        <v>3.0379902870806288</v>
      </c>
      <c r="E59" s="1">
        <v>1.99875</v>
      </c>
      <c r="F59" s="1">
        <v>2.01999</v>
      </c>
      <c r="G59" s="1">
        <f t="shared" si="0"/>
        <v>1751.1303389618511</v>
      </c>
      <c r="H59" s="1">
        <f t="shared" si="1"/>
        <v>2.6493341053914713E-3</v>
      </c>
    </row>
    <row r="60" spans="1:9" x14ac:dyDescent="0.35">
      <c r="B60">
        <v>5000</v>
      </c>
      <c r="C60" s="1">
        <v>1.6401791917207675</v>
      </c>
      <c r="D60" s="1">
        <v>2.7332222339618291</v>
      </c>
      <c r="E60" s="1">
        <v>2.0871499999999998</v>
      </c>
      <c r="F60" s="1">
        <v>2.08222</v>
      </c>
      <c r="G60" s="1">
        <f t="shared" si="0"/>
        <v>2500.8200895958603</v>
      </c>
      <c r="H60" s="1">
        <f t="shared" si="1"/>
        <v>2.1867007128412979E-3</v>
      </c>
    </row>
    <row r="61" spans="1:9" x14ac:dyDescent="0.35">
      <c r="C61" s="1"/>
      <c r="D61" s="1"/>
      <c r="E61" s="1"/>
      <c r="F61" s="1"/>
      <c r="G61" s="1" t="e">
        <f t="shared" si="0"/>
        <v>#DIV/0!</v>
      </c>
      <c r="H61" s="1" t="e">
        <f t="shared" si="1"/>
        <v>#DIV/0!</v>
      </c>
    </row>
    <row r="62" spans="1:9" x14ac:dyDescent="0.35">
      <c r="A62">
        <v>7</v>
      </c>
      <c r="B62">
        <v>2450</v>
      </c>
      <c r="C62" s="1">
        <v>12.871055683526308</v>
      </c>
      <c r="D62" s="1">
        <v>14.93821605509237</v>
      </c>
      <c r="E62" s="1">
        <v>0.68722300000000003</v>
      </c>
      <c r="F62" s="1">
        <v>1.5784400000000001</v>
      </c>
      <c r="G62" s="1">
        <f t="shared" si="0"/>
        <v>1231.4355278417631</v>
      </c>
      <c r="H62" s="1">
        <f t="shared" si="1"/>
        <v>1.3904635869309338E-2</v>
      </c>
      <c r="I62">
        <f>AVERAGE(H62,H65)</f>
        <v>1.4057892042931803E-2</v>
      </c>
    </row>
    <row r="63" spans="1:9" x14ac:dyDescent="0.35">
      <c r="B63">
        <v>5000</v>
      </c>
      <c r="C63" s="1">
        <v>9.7228999999999992</v>
      </c>
      <c r="D63" s="1">
        <v>12.4534</v>
      </c>
      <c r="E63" s="1">
        <v>1.8853</v>
      </c>
      <c r="F63" s="1">
        <v>1.7088400000000001</v>
      </c>
      <c r="G63" s="1">
        <f t="shared" si="0"/>
        <v>2504.8614499999999</v>
      </c>
      <c r="H63" s="1">
        <f t="shared" si="1"/>
        <v>1.1088149999999998E-2</v>
      </c>
    </row>
    <row r="64" spans="1:9" x14ac:dyDescent="0.35">
      <c r="C64" s="1"/>
      <c r="D64" s="1"/>
      <c r="E64" s="1"/>
      <c r="F64" s="1"/>
      <c r="G64" s="1" t="e">
        <f t="shared" si="0"/>
        <v>#DIV/0!</v>
      </c>
      <c r="H64" s="1" t="e">
        <f t="shared" si="1"/>
        <v>#DIV/0!</v>
      </c>
    </row>
    <row r="65" spans="1:8" x14ac:dyDescent="0.35">
      <c r="A65">
        <v>8</v>
      </c>
      <c r="B65">
        <v>2450</v>
      </c>
      <c r="C65" s="1">
        <v>12.9690706440193</v>
      </c>
      <c r="D65" s="1">
        <v>15.453225789089233</v>
      </c>
      <c r="E65" s="1">
        <v>0.71578600000000003</v>
      </c>
      <c r="F65" s="1">
        <v>1.82077</v>
      </c>
      <c r="G65" s="1">
        <f t="shared" si="0"/>
        <v>1231.4845353220096</v>
      </c>
      <c r="H65" s="1">
        <f t="shared" si="1"/>
        <v>1.4211148216554267E-2</v>
      </c>
    </row>
    <row r="66" spans="1:8" x14ac:dyDescent="0.35">
      <c r="B66">
        <v>5000</v>
      </c>
      <c r="C66" s="1">
        <v>9.4240999999999993</v>
      </c>
      <c r="D66" s="1">
        <v>9.2620000000000005</v>
      </c>
      <c r="E66" s="1">
        <v>1.91744</v>
      </c>
      <c r="F66" s="1">
        <v>1.57263</v>
      </c>
      <c r="G66" s="1">
        <f t="shared" si="0"/>
        <v>2504.7120500000001</v>
      </c>
      <c r="H66" s="1">
        <f t="shared" si="1"/>
        <v>9.3430500000000003E-3</v>
      </c>
    </row>
    <row r="67" spans="1:8" x14ac:dyDescent="0.35">
      <c r="C67" s="1"/>
      <c r="D67" s="1"/>
      <c r="E67" s="1"/>
      <c r="F67" s="1"/>
      <c r="G67" s="1" t="e">
        <f t="shared" ref="G67:G68" si="2">AVERAGE(B67:C67)</f>
        <v>#DIV/0!</v>
      </c>
      <c r="H67" s="1" t="e">
        <f t="shared" ref="H67:H68" si="3">AVERAGE(C67:D67)/1000</f>
        <v>#DIV/0!</v>
      </c>
    </row>
    <row r="68" spans="1:8" x14ac:dyDescent="0.35">
      <c r="A68">
        <v>9</v>
      </c>
      <c r="B68">
        <v>2450</v>
      </c>
      <c r="C68" s="1">
        <v>10.300227301134655</v>
      </c>
      <c r="D68" s="1">
        <v>10.967318838069122</v>
      </c>
      <c r="E68" s="1">
        <v>2.1601300000000001</v>
      </c>
      <c r="F68" s="1">
        <v>2.0204300000000002</v>
      </c>
      <c r="G68" s="1">
        <f t="shared" si="2"/>
        <v>1230.1501136505674</v>
      </c>
      <c r="H68" s="1">
        <f t="shared" si="3"/>
        <v>1.0633773069601888E-2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Costa, Giovanni</dc:creator>
  <cp:lastModifiedBy>Hamed Jalilian</cp:lastModifiedBy>
  <dcterms:created xsi:type="dcterms:W3CDTF">2026-05-28T22:23:00Z</dcterms:created>
  <dcterms:modified xsi:type="dcterms:W3CDTF">2026-07-07T10:41:22Z</dcterms:modified>
</cp:coreProperties>
</file>