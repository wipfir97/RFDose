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J:\EEH\EMF\ETAIN\06_WP2\SAR\YODA_2026\"/>
    </mc:Choice>
  </mc:AlternateContent>
  <xr:revisionPtr revIDLastSave="0" documentId="13_ncr:1_{F787216B-D958-4BE1-BB64-2F2C009D33E5}" xr6:coauthVersionLast="47" xr6:coauthVersionMax="47" xr10:uidLastSave="{00000000-0000-0000-0000-000000000000}"/>
  <bookViews>
    <workbookView xWindow="1970" yWindow="5710" windowWidth="15930" windowHeight="5640" xr2:uid="{8AFEE94E-B241-4571-81D7-9F9991D9A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1" l="1"/>
  <c r="I7" i="1"/>
  <c r="K7" i="1" s="1"/>
  <c r="L7" i="1" s="1"/>
  <c r="L3" i="1"/>
  <c r="L4" i="1"/>
  <c r="L5" i="1"/>
  <c r="L6" i="1"/>
  <c r="L8" i="1"/>
  <c r="L9" i="1"/>
  <c r="L10" i="1"/>
  <c r="L11" i="1"/>
  <c r="L12" i="1"/>
  <c r="L13" i="1"/>
  <c r="L2" i="1"/>
  <c r="J13" i="1"/>
  <c r="J2" i="1"/>
  <c r="J3" i="1"/>
  <c r="J4" i="1"/>
  <c r="J5" i="1"/>
  <c r="J6" i="1"/>
  <c r="J7" i="1"/>
  <c r="J8" i="1"/>
  <c r="J9" i="1"/>
  <c r="J10" i="1"/>
  <c r="J11" i="1"/>
  <c r="J12" i="1"/>
  <c r="I3" i="1"/>
  <c r="I4" i="1"/>
  <c r="I5" i="1"/>
  <c r="I6" i="1"/>
  <c r="I8" i="1"/>
  <c r="I9" i="1"/>
  <c r="I10" i="1"/>
  <c r="I11" i="1"/>
  <c r="I12" i="1"/>
  <c r="I13" i="1"/>
  <c r="I2" i="1"/>
  <c r="K6" i="1" l="1"/>
  <c r="K4" i="1"/>
  <c r="K5" i="1"/>
  <c r="K11" i="1"/>
  <c r="K3" i="1"/>
  <c r="K8" i="1"/>
  <c r="K10" i="1"/>
  <c r="K9" i="1"/>
  <c r="K13" i="1"/>
  <c r="K2" i="1"/>
  <c r="K12" i="1"/>
</calcChain>
</file>

<file path=xl/sharedStrings.xml><?xml version="1.0" encoding="utf-8"?>
<sst xmlns="http://schemas.openxmlformats.org/spreadsheetml/2006/main" count="23" uniqueCount="23">
  <si>
    <t>Frequency [MHz]</t>
  </si>
  <si>
    <t>Brain SARosa, Duke [m^2*mW/kg/W]</t>
  </si>
  <si>
    <t>Brain SARosa, Ella [m^2*mW/kg/W]</t>
  </si>
  <si>
    <t>Incident power density, Duke [mW/m^2]</t>
  </si>
  <si>
    <t>Incident power density, Ella [mW/m^2]</t>
  </si>
  <si>
    <t>bottom1</t>
  </si>
  <si>
    <t>bottom2</t>
  </si>
  <si>
    <t>back1</t>
  </si>
  <si>
    <t>back2</t>
  </si>
  <si>
    <t>top1</t>
  </si>
  <si>
    <t>top2</t>
  </si>
  <si>
    <t>right1</t>
  </si>
  <si>
    <t>right2</t>
  </si>
  <si>
    <t>front1</t>
  </si>
  <si>
    <t>front2</t>
  </si>
  <si>
    <t>left1</t>
  </si>
  <si>
    <t>left2</t>
  </si>
  <si>
    <t>Plane Wave impinging from</t>
  </si>
  <si>
    <t>Ella Mean, W/m2</t>
  </si>
  <si>
    <r>
      <t>Duke Mean,W/kg per W/m</t>
    </r>
    <r>
      <rPr>
        <vertAlign val="superscript"/>
        <sz val="11"/>
        <color theme="1"/>
        <rFont val="Calibri"/>
        <family val="2"/>
        <scheme val="minor"/>
      </rPr>
      <t>2</t>
    </r>
  </si>
  <si>
    <t>Mean total, W/kg per W/m2</t>
  </si>
  <si>
    <t>braodcast only, W/kg per W/m2</t>
  </si>
  <si>
    <t>Mean total, mW/kg per W/m3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</si>
</sst>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7B46-118B-47A7-9580-8D2B8A08DFB4}">
  <dimension ref="A1:U156"/>
  <sheetViews>
    <sheetView tabSelected="1" topLeftCell="I9" zoomScale="89" workbookViewId="0">
      <selection activeCell="M3" sqref="M3"/>
    </sheetView>
  </sheetViews>
  <sheetFormatPr defaultRowHeight="14.5" x14ac:dyDescent="0.35"/>
  <cols>
    <col min="1" max="1" width="24.81640625" bestFit="1" customWidth="1"/>
    <col min="2" max="2" width="15.36328125" bestFit="1" customWidth="1"/>
    <col min="3" max="3" width="33" bestFit="1" customWidth="1"/>
    <col min="4" max="4" width="31.453125" bestFit="1" customWidth="1"/>
    <col min="5" max="5" width="36.26953125" bestFit="1" customWidth="1"/>
    <col min="6" max="6" width="34.7265625" bestFit="1" customWidth="1"/>
    <col min="9" max="9" width="35.7265625" bestFit="1" customWidth="1"/>
    <col min="10" max="10" width="27.90625" bestFit="1" customWidth="1"/>
    <col min="11" max="11" width="24.90625" bestFit="1" customWidth="1"/>
    <col min="12" max="12" width="24.90625" customWidth="1"/>
    <col min="13" max="13" width="28.08984375" bestFit="1" customWidth="1"/>
    <col min="19" max="19" width="16.08984375" customWidth="1"/>
    <col min="20" max="20" width="14.26953125" bestFit="1" customWidth="1"/>
    <col min="21" max="21" width="24.36328125" customWidth="1"/>
  </cols>
  <sheetData>
    <row r="1" spans="1:21" ht="16.5" x14ac:dyDescent="0.3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I1" t="s">
        <v>19</v>
      </c>
      <c r="J1" t="s">
        <v>18</v>
      </c>
      <c r="K1" t="s">
        <v>20</v>
      </c>
      <c r="L1" t="s">
        <v>22</v>
      </c>
      <c r="M1" t="s">
        <v>21</v>
      </c>
    </row>
    <row r="2" spans="1:21" x14ac:dyDescent="0.35">
      <c r="A2" t="s">
        <v>5</v>
      </c>
      <c r="B2">
        <v>100</v>
      </c>
      <c r="C2">
        <v>1.5284941299139008</v>
      </c>
      <c r="D2">
        <v>1.3150263157142499</v>
      </c>
      <c r="E2" s="1">
        <v>1.3262599469496019</v>
      </c>
      <c r="F2" s="1">
        <v>1.3262599469496019</v>
      </c>
      <c r="I2" s="4">
        <f>AVERAGE(C2,C15,C28,C41,C54,C67,C80,C93,C106,C119,C132,C145)</f>
        <v>3.1347365051141587</v>
      </c>
      <c r="J2" s="4">
        <f>AVERAGE(D2,D15,D28,D41,D54,D67,D80,D93,D106,D119,D132,D145)</f>
        <v>3.8161354662270681</v>
      </c>
      <c r="K2" s="4">
        <f>AVERAGE(I2:J2)</f>
        <v>3.4754359856706136</v>
      </c>
      <c r="L2" s="4">
        <f>K2/1000</f>
        <v>3.4754359856706135E-3</v>
      </c>
      <c r="M2" s="4">
        <f>AVERAGE(K2:K4)/1000</f>
        <v>6.3492631905124608E-3</v>
      </c>
    </row>
    <row r="3" spans="1:21" x14ac:dyDescent="0.35">
      <c r="B3">
        <v>300</v>
      </c>
      <c r="C3">
        <v>6.5065055462126757</v>
      </c>
      <c r="D3">
        <v>7.0526930991799048</v>
      </c>
      <c r="E3" s="1">
        <v>1.3262599469496019</v>
      </c>
      <c r="F3" s="1">
        <v>1.3262599469496019</v>
      </c>
      <c r="I3" s="4">
        <f t="shared" ref="I3:J13" si="0">AVERAGE(C3,C16,C29,C42,C55,C68,C81,C94,C107,C120,C133,C146)</f>
        <v>6.5490275638642004</v>
      </c>
      <c r="J3" s="4">
        <f t="shared" si="0"/>
        <v>7.6420671825078328</v>
      </c>
      <c r="K3" s="4">
        <f t="shared" ref="K3:K12" si="1">AVERAGE(I3:J3)</f>
        <v>7.095547373186017</v>
      </c>
      <c r="L3" s="4">
        <f t="shared" ref="L3:L13" si="2">K3/1000</f>
        <v>7.0955473731860166E-3</v>
      </c>
    </row>
    <row r="4" spans="1:21" x14ac:dyDescent="0.35">
      <c r="B4">
        <v>500</v>
      </c>
      <c r="C4">
        <v>6.9789984512416927</v>
      </c>
      <c r="D4">
        <v>7.3815340870575197</v>
      </c>
      <c r="E4" s="1">
        <v>1.3262599469496019</v>
      </c>
      <c r="F4" s="1">
        <v>1.3262599469496019</v>
      </c>
      <c r="I4" s="4">
        <f t="shared" si="0"/>
        <v>8.6787207669135</v>
      </c>
      <c r="J4" s="4">
        <f t="shared" si="0"/>
        <v>8.2748916584480057</v>
      </c>
      <c r="K4" s="4">
        <f t="shared" si="1"/>
        <v>8.4768062126807529</v>
      </c>
      <c r="L4" s="4">
        <f t="shared" si="2"/>
        <v>8.4768062126807531E-3</v>
      </c>
    </row>
    <row r="5" spans="1:21" x14ac:dyDescent="0.35">
      <c r="B5">
        <v>700</v>
      </c>
      <c r="C5">
        <v>5.3893072884681974</v>
      </c>
      <c r="D5">
        <v>4.9922196728940227</v>
      </c>
      <c r="E5" s="1">
        <v>1.3262599469496019</v>
      </c>
      <c r="F5" s="1">
        <v>1.3262599469496019</v>
      </c>
      <c r="I5" s="4">
        <f t="shared" si="0"/>
        <v>8.6165368508585836</v>
      </c>
      <c r="J5" s="4">
        <f t="shared" si="0"/>
        <v>8.2046751095483827</v>
      </c>
      <c r="K5" s="4">
        <f t="shared" si="1"/>
        <v>8.4106059802034832</v>
      </c>
      <c r="L5" s="4">
        <f t="shared" si="2"/>
        <v>8.4106059802034824E-3</v>
      </c>
    </row>
    <row r="6" spans="1:21" x14ac:dyDescent="0.35">
      <c r="B6">
        <v>800</v>
      </c>
      <c r="C6">
        <v>4.6539223318540994</v>
      </c>
      <c r="D6">
        <v>3.9491445631080793</v>
      </c>
      <c r="E6" s="1">
        <v>1.3262599469496019</v>
      </c>
      <c r="F6" s="1">
        <v>1.3262599469496019</v>
      </c>
      <c r="I6" s="4">
        <f t="shared" si="0"/>
        <v>8.7556865218902669</v>
      </c>
      <c r="J6" s="4">
        <f t="shared" si="0"/>
        <v>8.5825422728453606</v>
      </c>
      <c r="K6" s="4">
        <f t="shared" si="1"/>
        <v>8.6691143973678138</v>
      </c>
      <c r="L6" s="4">
        <f t="shared" si="2"/>
        <v>8.6691143973678143E-3</v>
      </c>
    </row>
    <row r="7" spans="1:21" x14ac:dyDescent="0.35">
      <c r="B7">
        <v>900</v>
      </c>
      <c r="C7">
        <v>3.7623940723764462</v>
      </c>
      <c r="D7">
        <v>3.1891103121686402</v>
      </c>
      <c r="E7" s="1">
        <v>1.3262599469496019</v>
      </c>
      <c r="F7" s="1">
        <v>1.3262599469496019</v>
      </c>
      <c r="I7" s="4">
        <f>AVERAGE(C7,C20,C33,C46,C59,C72,C85,C98,C111,C124,C137,C150)</f>
        <v>8.7052505284611073</v>
      </c>
      <c r="J7" s="4">
        <f t="shared" si="0"/>
        <v>8.7168799198362379</v>
      </c>
      <c r="K7" s="4">
        <f>AVERAGE(I7:J7)</f>
        <v>8.7110652241486726</v>
      </c>
      <c r="L7" s="4">
        <f t="shared" si="2"/>
        <v>8.7110652241486723E-3</v>
      </c>
    </row>
    <row r="8" spans="1:21" x14ac:dyDescent="0.35">
      <c r="B8">
        <v>1800</v>
      </c>
      <c r="C8">
        <v>0.47697526347527885</v>
      </c>
      <c r="D8">
        <v>0.73682823884732362</v>
      </c>
      <c r="E8" s="1">
        <v>1.3262599469496019</v>
      </c>
      <c r="F8" s="1">
        <v>1.3262599469496019</v>
      </c>
      <c r="I8" s="4">
        <f t="shared" si="0"/>
        <v>3.8419393168500062</v>
      </c>
      <c r="J8" s="4">
        <f t="shared" si="0"/>
        <v>5.0649360731683837</v>
      </c>
      <c r="K8" s="4">
        <f t="shared" si="1"/>
        <v>4.4534376950091952</v>
      </c>
      <c r="L8" s="4">
        <f t="shared" si="2"/>
        <v>4.4534376950091954E-3</v>
      </c>
    </row>
    <row r="9" spans="1:21" x14ac:dyDescent="0.35">
      <c r="B9">
        <v>2100</v>
      </c>
      <c r="C9">
        <v>0.30171136678472638</v>
      </c>
      <c r="D9">
        <v>0.5063249987025209</v>
      </c>
      <c r="E9" s="1">
        <v>1.3262599469496019</v>
      </c>
      <c r="F9" s="1">
        <v>1.3262599469496019</v>
      </c>
      <c r="I9" s="4">
        <f t="shared" si="0"/>
        <v>2.9312640629234941</v>
      </c>
      <c r="J9" s="4">
        <f t="shared" si="0"/>
        <v>3.8865379017156196</v>
      </c>
      <c r="K9" s="4">
        <f t="shared" si="1"/>
        <v>3.4089009823195568</v>
      </c>
      <c r="L9" s="4">
        <f t="shared" si="2"/>
        <v>3.4089009823195567E-3</v>
      </c>
    </row>
    <row r="10" spans="1:21" x14ac:dyDescent="0.35">
      <c r="B10">
        <v>2450</v>
      </c>
      <c r="C10">
        <v>0.19183115728351582</v>
      </c>
      <c r="D10">
        <v>0.3378654620102341</v>
      </c>
      <c r="E10" s="1">
        <v>1.3262599469496019</v>
      </c>
      <c r="F10" s="1">
        <v>1.3262599469496019</v>
      </c>
      <c r="I10" s="4">
        <f t="shared" si="0"/>
        <v>2.3125616696662372</v>
      </c>
      <c r="J10" s="4">
        <f t="shared" si="0"/>
        <v>2.9238167956624292</v>
      </c>
      <c r="K10" s="4">
        <f t="shared" si="1"/>
        <v>2.6181892326643332</v>
      </c>
      <c r="L10" s="4">
        <f t="shared" si="2"/>
        <v>2.618189232664333E-3</v>
      </c>
    </row>
    <row r="11" spans="1:21" x14ac:dyDescent="0.35">
      <c r="B11">
        <v>2600</v>
      </c>
      <c r="C11">
        <v>0.16546170679658115</v>
      </c>
      <c r="D11">
        <v>0.29121373472502354</v>
      </c>
      <c r="E11" s="1">
        <v>1.3262599469496019</v>
      </c>
      <c r="F11" s="1">
        <v>1.3262599469496019</v>
      </c>
      <c r="I11" s="4">
        <f t="shared" si="0"/>
        <v>2.1233863408620084</v>
      </c>
      <c r="J11" s="4">
        <f t="shared" si="0"/>
        <v>2.6337508714220657</v>
      </c>
      <c r="K11" s="4">
        <f t="shared" si="1"/>
        <v>2.378568606142037</v>
      </c>
      <c r="L11" s="4">
        <f t="shared" si="2"/>
        <v>2.3785686061420369E-3</v>
      </c>
    </row>
    <row r="12" spans="1:21" x14ac:dyDescent="0.35">
      <c r="B12">
        <v>3500</v>
      </c>
      <c r="C12">
        <v>7.2052166949143875E-2</v>
      </c>
      <c r="D12">
        <v>0.15343464549627761</v>
      </c>
      <c r="E12" s="1">
        <v>1.3262599469496019</v>
      </c>
      <c r="F12" s="1">
        <v>1.3262599469496019</v>
      </c>
      <c r="I12" s="4">
        <f t="shared" si="0"/>
        <v>1.2716868933660896</v>
      </c>
      <c r="J12" s="4">
        <f t="shared" si="0"/>
        <v>1.587986267396672</v>
      </c>
      <c r="K12" s="4">
        <f t="shared" si="1"/>
        <v>1.4298365803813808</v>
      </c>
      <c r="L12" s="4">
        <f t="shared" si="2"/>
        <v>1.4298365803813808E-3</v>
      </c>
    </row>
    <row r="13" spans="1:21" x14ac:dyDescent="0.35">
      <c r="B13">
        <v>5000</v>
      </c>
      <c r="C13">
        <v>1.3056984173804419E-2</v>
      </c>
      <c r="D13">
        <v>4.0205647564378021E-2</v>
      </c>
      <c r="E13" s="1">
        <v>1.3262599469496019</v>
      </c>
      <c r="F13" s="1">
        <v>1.3262599469496019</v>
      </c>
      <c r="I13" s="4">
        <f t="shared" si="0"/>
        <v>0.45677855999438965</v>
      </c>
      <c r="J13" s="4">
        <f>AVERAGE(D13,D26,D39,D52,D65,D78,D91,D104,D117,D130,D143,D156)</f>
        <v>0.65558664616031415</v>
      </c>
      <c r="K13" s="4">
        <f>AVERAGE(I13:J13)</f>
        <v>0.5561826030773519</v>
      </c>
      <c r="L13" s="4">
        <f t="shared" si="2"/>
        <v>5.5618260307735185E-4</v>
      </c>
      <c r="S13" s="3"/>
      <c r="T13" s="3"/>
      <c r="U13" s="3"/>
    </row>
    <row r="14" spans="1:21" x14ac:dyDescent="0.35">
      <c r="E14" s="1"/>
      <c r="F14" s="1"/>
      <c r="S14" s="2"/>
      <c r="T14" s="2"/>
      <c r="U14" s="2"/>
    </row>
    <row r="15" spans="1:21" x14ac:dyDescent="0.35">
      <c r="A15" t="s">
        <v>6</v>
      </c>
      <c r="B15">
        <v>100</v>
      </c>
      <c r="C15">
        <v>0.92959407643565395</v>
      </c>
      <c r="D15">
        <v>0.84715077940508554</v>
      </c>
      <c r="E15" s="1">
        <v>1.3262599469496019</v>
      </c>
      <c r="F15" s="1">
        <v>1.3262599469496019</v>
      </c>
      <c r="S15" s="2"/>
      <c r="T15" s="2"/>
      <c r="U15" s="2"/>
    </row>
    <row r="16" spans="1:21" x14ac:dyDescent="0.35">
      <c r="B16">
        <v>300</v>
      </c>
      <c r="C16">
        <v>4.2749402167377211</v>
      </c>
      <c r="D16">
        <v>4.7729215717514402</v>
      </c>
      <c r="E16" s="1">
        <v>1.3262599469496019</v>
      </c>
      <c r="F16" s="1">
        <v>1.3262599469496019</v>
      </c>
      <c r="S16" s="2"/>
      <c r="T16" s="2"/>
      <c r="U16" s="2"/>
    </row>
    <row r="17" spans="1:21" x14ac:dyDescent="0.35">
      <c r="B17">
        <v>500</v>
      </c>
      <c r="C17">
        <v>3.7187343798119774</v>
      </c>
      <c r="D17">
        <v>3.9986342199075446</v>
      </c>
      <c r="E17" s="1">
        <v>1.3262599469496019</v>
      </c>
      <c r="F17" s="1">
        <v>1.3262599469496019</v>
      </c>
      <c r="S17" s="2"/>
      <c r="T17" s="2"/>
      <c r="U17" s="2"/>
    </row>
    <row r="18" spans="1:21" x14ac:dyDescent="0.35">
      <c r="B18">
        <v>700</v>
      </c>
      <c r="C18">
        <v>2.7173313359026863</v>
      </c>
      <c r="D18">
        <v>2.7463484762050299</v>
      </c>
      <c r="E18" s="1">
        <v>1.3262599469496019</v>
      </c>
      <c r="F18" s="1">
        <v>1.3262599469496019</v>
      </c>
      <c r="S18" s="2"/>
      <c r="T18" s="2"/>
      <c r="U18" s="2"/>
    </row>
    <row r="19" spans="1:21" x14ac:dyDescent="0.35">
      <c r="B19">
        <v>800</v>
      </c>
      <c r="C19">
        <v>2.4616987060573399</v>
      </c>
      <c r="D19">
        <v>2.5477260850700847</v>
      </c>
      <c r="E19" s="1">
        <v>1.3262599469496019</v>
      </c>
      <c r="F19" s="1">
        <v>1.3262599469496019</v>
      </c>
      <c r="S19" s="2"/>
      <c r="T19" s="2"/>
      <c r="U19" s="2"/>
    </row>
    <row r="20" spans="1:21" x14ac:dyDescent="0.35">
      <c r="B20">
        <v>900</v>
      </c>
      <c r="C20">
        <v>2.015112306680638</v>
      </c>
      <c r="D20">
        <v>2.1195497812731849</v>
      </c>
      <c r="E20" s="1">
        <v>1.3262599469496019</v>
      </c>
      <c r="F20" s="1">
        <v>1.3262599469496019</v>
      </c>
      <c r="S20" s="2"/>
      <c r="T20" s="2"/>
      <c r="U20" s="2"/>
    </row>
    <row r="21" spans="1:21" x14ac:dyDescent="0.35">
      <c r="B21">
        <v>1800</v>
      </c>
      <c r="C21">
        <v>0.19752132079431411</v>
      </c>
      <c r="D21">
        <v>0.34038201043446975</v>
      </c>
      <c r="E21" s="1">
        <v>1.3262599469496019</v>
      </c>
      <c r="F21" s="1">
        <v>1.3262599469496019</v>
      </c>
      <c r="S21" s="2"/>
      <c r="T21" s="2"/>
      <c r="U21" s="2"/>
    </row>
    <row r="22" spans="1:21" x14ac:dyDescent="0.35">
      <c r="B22">
        <v>2100</v>
      </c>
      <c r="C22">
        <v>0.11474356698600324</v>
      </c>
      <c r="D22">
        <v>0.20931744408717054</v>
      </c>
      <c r="E22" s="1">
        <v>1.3262599469496019</v>
      </c>
      <c r="F22" s="1">
        <v>1.3262599469496019</v>
      </c>
      <c r="S22" s="2"/>
      <c r="T22" s="2"/>
      <c r="U22" s="2"/>
    </row>
    <row r="23" spans="1:21" x14ac:dyDescent="0.35">
      <c r="B23">
        <v>2450</v>
      </c>
      <c r="C23">
        <v>6.9592639815688695E-2</v>
      </c>
      <c r="D23">
        <v>0.12159425595081655</v>
      </c>
      <c r="E23" s="1">
        <v>1.3262599469496019</v>
      </c>
      <c r="F23" s="1">
        <v>1.3262599469496019</v>
      </c>
      <c r="S23" s="2"/>
      <c r="T23" s="2"/>
      <c r="U23" s="2"/>
    </row>
    <row r="24" spans="1:21" x14ac:dyDescent="0.35">
      <c r="B24">
        <v>2600</v>
      </c>
      <c r="C24">
        <v>5.9400490823839469E-2</v>
      </c>
      <c r="D24">
        <v>0.10090868314328955</v>
      </c>
      <c r="E24" s="1">
        <v>1.3262599469496019</v>
      </c>
      <c r="F24" s="1">
        <v>1.3262599469496019</v>
      </c>
      <c r="S24" s="2"/>
      <c r="T24" s="2"/>
      <c r="U24" s="2"/>
    </row>
    <row r="25" spans="1:21" x14ac:dyDescent="0.35">
      <c r="B25">
        <v>3500</v>
      </c>
      <c r="C25">
        <v>2.8240711539173662E-2</v>
      </c>
      <c r="D25">
        <v>5.9677328069208398E-2</v>
      </c>
      <c r="E25" s="1">
        <v>1.3262599469496019</v>
      </c>
      <c r="F25" s="1">
        <v>1.3262599469496019</v>
      </c>
      <c r="S25" s="2"/>
      <c r="T25" s="2"/>
      <c r="U25" s="2"/>
    </row>
    <row r="26" spans="1:21" x14ac:dyDescent="0.35">
      <c r="B26">
        <v>5000</v>
      </c>
      <c r="C26">
        <v>8.8430370436236479E-3</v>
      </c>
      <c r="D26">
        <v>1.8513647997109427E-2</v>
      </c>
      <c r="E26" s="1">
        <v>1.3262599469496019</v>
      </c>
      <c r="F26" s="1">
        <v>1.3262599469496019</v>
      </c>
    </row>
    <row r="27" spans="1:21" x14ac:dyDescent="0.35">
      <c r="E27" s="1"/>
      <c r="F27" s="1"/>
    </row>
    <row r="28" spans="1:21" x14ac:dyDescent="0.35">
      <c r="A28" t="s">
        <v>7</v>
      </c>
      <c r="B28">
        <v>100</v>
      </c>
      <c r="C28">
        <v>6.6868292270284551</v>
      </c>
      <c r="D28">
        <v>8.615736685771239</v>
      </c>
      <c r="E28" s="1">
        <v>1.3262599469496019</v>
      </c>
      <c r="F28" s="1">
        <v>1.3262599469496019</v>
      </c>
    </row>
    <row r="29" spans="1:21" x14ac:dyDescent="0.35">
      <c r="B29">
        <v>300</v>
      </c>
      <c r="C29">
        <v>8.3645894720009153</v>
      </c>
      <c r="D29">
        <v>11.15718571358717</v>
      </c>
      <c r="E29" s="1">
        <v>1.3262599469496019</v>
      </c>
      <c r="F29" s="1">
        <v>1.3262599469496019</v>
      </c>
    </row>
    <row r="30" spans="1:21" x14ac:dyDescent="0.35">
      <c r="B30">
        <v>500</v>
      </c>
      <c r="C30">
        <v>9.0822789899783789</v>
      </c>
      <c r="D30">
        <v>8.7355453500981373</v>
      </c>
      <c r="E30" s="1">
        <v>1.3262599469496019</v>
      </c>
      <c r="F30" s="1">
        <v>1.3262599469496019</v>
      </c>
    </row>
    <row r="31" spans="1:21" x14ac:dyDescent="0.35">
      <c r="B31">
        <v>700</v>
      </c>
      <c r="C31">
        <v>8.2683895468814086</v>
      </c>
      <c r="D31">
        <v>7.4095069714068469</v>
      </c>
      <c r="E31" s="1">
        <v>1.3262599469496019</v>
      </c>
      <c r="F31" s="1">
        <v>1.3262599469496019</v>
      </c>
    </row>
    <row r="32" spans="1:21" x14ac:dyDescent="0.35">
      <c r="B32">
        <v>800</v>
      </c>
      <c r="C32">
        <v>8.4876066669629378</v>
      </c>
      <c r="D32">
        <v>7.533046418399489</v>
      </c>
      <c r="E32" s="1">
        <v>1.3262599469496019</v>
      </c>
      <c r="F32" s="1">
        <v>1.3262599469496019</v>
      </c>
    </row>
    <row r="33" spans="1:6" x14ac:dyDescent="0.35">
      <c r="B33">
        <v>900</v>
      </c>
      <c r="C33">
        <v>9.5664648149456166</v>
      </c>
      <c r="D33">
        <v>8.0374553793594448</v>
      </c>
      <c r="E33" s="1">
        <v>1.3262599469496019</v>
      </c>
      <c r="F33" s="1">
        <v>1.3262599469496019</v>
      </c>
    </row>
    <row r="34" spans="1:6" x14ac:dyDescent="0.35">
      <c r="B34">
        <v>1800</v>
      </c>
      <c r="C34">
        <v>4.3969752393188806</v>
      </c>
      <c r="D34">
        <v>5.4184250048187925</v>
      </c>
      <c r="E34" s="1">
        <v>1.3262599469496019</v>
      </c>
      <c r="F34" s="1">
        <v>1.3262599469496019</v>
      </c>
    </row>
    <row r="35" spans="1:6" x14ac:dyDescent="0.35">
      <c r="B35">
        <v>2100</v>
      </c>
      <c r="C35">
        <v>3.3984735899549392</v>
      </c>
      <c r="D35">
        <v>4.1749337937714133</v>
      </c>
      <c r="E35" s="1">
        <v>1.3262599469496019</v>
      </c>
      <c r="F35" s="1">
        <v>1.3262599469496019</v>
      </c>
    </row>
    <row r="36" spans="1:6" x14ac:dyDescent="0.35">
      <c r="B36">
        <v>2450</v>
      </c>
      <c r="C36">
        <v>2.7142684772955801</v>
      </c>
      <c r="D36">
        <v>3.1991196314451322</v>
      </c>
      <c r="E36" s="1">
        <v>1.3262599469496019</v>
      </c>
      <c r="F36" s="1">
        <v>1.3262599469496019</v>
      </c>
    </row>
    <row r="37" spans="1:6" x14ac:dyDescent="0.35">
      <c r="B37">
        <v>2600</v>
      </c>
      <c r="C37">
        <v>2.4427054995952999</v>
      </c>
      <c r="D37">
        <v>2.9377905168767402</v>
      </c>
      <c r="E37" s="1">
        <v>1.3262599469496019</v>
      </c>
      <c r="F37" s="1">
        <v>1.3262599469496019</v>
      </c>
    </row>
    <row r="38" spans="1:6" x14ac:dyDescent="0.35">
      <c r="B38">
        <v>3500</v>
      </c>
      <c r="C38">
        <v>1.4317887601678503</v>
      </c>
      <c r="D38">
        <v>1.6012180486042609</v>
      </c>
      <c r="E38" s="1">
        <v>1.3262599469496019</v>
      </c>
      <c r="F38" s="1">
        <v>1.3262599469496019</v>
      </c>
    </row>
    <row r="39" spans="1:6" x14ac:dyDescent="0.35">
      <c r="B39">
        <v>5000</v>
      </c>
      <c r="C39">
        <v>0.49061698253549352</v>
      </c>
      <c r="D39">
        <v>0.62587352496926252</v>
      </c>
      <c r="E39" s="1">
        <v>1.3262599469496019</v>
      </c>
      <c r="F39" s="1">
        <v>1.3262599469496019</v>
      </c>
    </row>
    <row r="40" spans="1:6" x14ac:dyDescent="0.35">
      <c r="E40" s="1"/>
      <c r="F40" s="1"/>
    </row>
    <row r="41" spans="1:6" x14ac:dyDescent="0.35">
      <c r="A41" t="s">
        <v>8</v>
      </c>
      <c r="B41">
        <v>100</v>
      </c>
      <c r="C41">
        <v>0.99453072735330039</v>
      </c>
      <c r="D41">
        <v>0.97065929582406874</v>
      </c>
      <c r="E41" s="1">
        <v>1.3262599469496019</v>
      </c>
      <c r="F41" s="1">
        <v>1.3262599469496019</v>
      </c>
    </row>
    <row r="42" spans="1:6" x14ac:dyDescent="0.35">
      <c r="B42">
        <v>300</v>
      </c>
      <c r="C42">
        <v>5.7951827568425722</v>
      </c>
      <c r="D42">
        <v>5.7775587883376671</v>
      </c>
      <c r="E42" s="1">
        <v>1.3262599469496019</v>
      </c>
      <c r="F42" s="1">
        <v>1.3262599469496019</v>
      </c>
    </row>
    <row r="43" spans="1:6" x14ac:dyDescent="0.35">
      <c r="B43">
        <v>500</v>
      </c>
      <c r="C43">
        <v>9.2757908137139609</v>
      </c>
      <c r="D43">
        <v>8.0998655560816157</v>
      </c>
      <c r="E43" s="1">
        <v>1.3262599469496019</v>
      </c>
      <c r="F43" s="1">
        <v>1.3262599469496019</v>
      </c>
    </row>
    <row r="44" spans="1:6" x14ac:dyDescent="0.35">
      <c r="B44">
        <v>700</v>
      </c>
      <c r="C44">
        <v>11.395979217370961</v>
      </c>
      <c r="D44">
        <v>9.6455380269620132</v>
      </c>
      <c r="E44" s="1">
        <v>1.3262599469496019</v>
      </c>
      <c r="F44" s="1">
        <v>1.3262599469496019</v>
      </c>
    </row>
    <row r="45" spans="1:6" x14ac:dyDescent="0.35">
      <c r="B45">
        <v>800</v>
      </c>
      <c r="C45">
        <v>12.282147798320258</v>
      </c>
      <c r="D45">
        <v>10.78312081239473</v>
      </c>
      <c r="E45" s="1">
        <v>1.3262599469496019</v>
      </c>
      <c r="F45" s="1">
        <v>1.3262599469496019</v>
      </c>
    </row>
    <row r="46" spans="1:6" x14ac:dyDescent="0.35">
      <c r="B46">
        <v>900</v>
      </c>
      <c r="C46">
        <v>12.059968356679956</v>
      </c>
      <c r="D46">
        <v>11.281053684356685</v>
      </c>
      <c r="E46" s="1">
        <v>1.3262599469496019</v>
      </c>
      <c r="F46" s="1">
        <v>1.3262599469496019</v>
      </c>
    </row>
    <row r="47" spans="1:6" x14ac:dyDescent="0.35">
      <c r="B47">
        <v>1800</v>
      </c>
      <c r="C47">
        <v>4.9363476284565646</v>
      </c>
      <c r="D47">
        <v>6.2729023081181108</v>
      </c>
      <c r="E47" s="1">
        <v>1.3262599469496019</v>
      </c>
      <c r="F47" s="1">
        <v>1.3262599469496019</v>
      </c>
    </row>
    <row r="48" spans="1:6" x14ac:dyDescent="0.35">
      <c r="B48">
        <v>2100</v>
      </c>
      <c r="C48">
        <v>3.8274167304917759</v>
      </c>
      <c r="D48">
        <v>4.8100667913752782</v>
      </c>
      <c r="E48" s="1">
        <v>1.3262599469496019</v>
      </c>
      <c r="F48" s="1">
        <v>1.3262599469496019</v>
      </c>
    </row>
    <row r="49" spans="1:6" x14ac:dyDescent="0.35">
      <c r="B49">
        <v>2450</v>
      </c>
      <c r="C49">
        <v>3.0125152967332309</v>
      </c>
      <c r="D49">
        <v>3.6208648896400049</v>
      </c>
      <c r="E49" s="1">
        <v>1.3262599469496019</v>
      </c>
      <c r="F49" s="1">
        <v>1.3262599469496019</v>
      </c>
    </row>
    <row r="50" spans="1:6" x14ac:dyDescent="0.35">
      <c r="B50">
        <v>2600</v>
      </c>
      <c r="C50">
        <v>2.755925841536687</v>
      </c>
      <c r="D50">
        <v>3.2340500742816158</v>
      </c>
      <c r="E50" s="1">
        <v>1.3262599469496019</v>
      </c>
      <c r="F50" s="1">
        <v>1.3262599469496019</v>
      </c>
    </row>
    <row r="51" spans="1:6" x14ac:dyDescent="0.35">
      <c r="B51">
        <v>3500</v>
      </c>
      <c r="C51">
        <v>1.5755105333273403</v>
      </c>
      <c r="D51">
        <v>1.8692364211190253</v>
      </c>
      <c r="E51" s="1">
        <v>1.3262599469496019</v>
      </c>
      <c r="F51" s="1">
        <v>1.3262599469496019</v>
      </c>
    </row>
    <row r="52" spans="1:6" x14ac:dyDescent="0.35">
      <c r="B52">
        <v>5000</v>
      </c>
      <c r="C52">
        <v>0.55848220987132025</v>
      </c>
      <c r="D52">
        <v>0.77074020757519068</v>
      </c>
      <c r="E52" s="1">
        <v>1.3262599469496019</v>
      </c>
      <c r="F52" s="1">
        <v>1.3262599469496019</v>
      </c>
    </row>
    <row r="53" spans="1:6" x14ac:dyDescent="0.35">
      <c r="E53" s="1"/>
      <c r="F53" s="1"/>
    </row>
    <row r="54" spans="1:6" x14ac:dyDescent="0.35">
      <c r="A54" t="s">
        <v>9</v>
      </c>
      <c r="B54">
        <v>100</v>
      </c>
      <c r="C54">
        <v>2.4219382228027286</v>
      </c>
      <c r="D54">
        <v>2.0256075952524211</v>
      </c>
      <c r="E54" s="1">
        <v>1.3262599469496019</v>
      </c>
      <c r="F54" s="1">
        <v>1.3262599469496019</v>
      </c>
    </row>
    <row r="55" spans="1:6" x14ac:dyDescent="0.35">
      <c r="B55">
        <v>300</v>
      </c>
      <c r="C55">
        <v>8.7444943700943369</v>
      </c>
      <c r="D55">
        <v>9.1552493549238214</v>
      </c>
      <c r="E55" s="1">
        <v>1.3262599469496019</v>
      </c>
      <c r="F55" s="1">
        <v>1.3262599469496019</v>
      </c>
    </row>
    <row r="56" spans="1:6" x14ac:dyDescent="0.35">
      <c r="B56">
        <v>500</v>
      </c>
      <c r="C56">
        <v>13.38381708969403</v>
      </c>
      <c r="D56">
        <v>13.341570961740773</v>
      </c>
      <c r="E56" s="1">
        <v>1.3262599469496019</v>
      </c>
      <c r="F56" s="1">
        <v>1.3262599469496019</v>
      </c>
    </row>
    <row r="57" spans="1:6" x14ac:dyDescent="0.35">
      <c r="B57">
        <v>700</v>
      </c>
      <c r="C57">
        <v>11.685012388493414</v>
      </c>
      <c r="D57">
        <v>11.956863468338279</v>
      </c>
      <c r="E57" s="1">
        <v>1.3262599469496019</v>
      </c>
      <c r="F57" s="1">
        <v>1.3262599469496019</v>
      </c>
    </row>
    <row r="58" spans="1:6" x14ac:dyDescent="0.35">
      <c r="B58">
        <v>800</v>
      </c>
      <c r="C58">
        <v>12.159956706723738</v>
      </c>
      <c r="D58">
        <v>11.901367401594753</v>
      </c>
      <c r="E58" s="1">
        <v>1.3262599469496019</v>
      </c>
      <c r="F58" s="1">
        <v>1.3262599469496019</v>
      </c>
    </row>
    <row r="59" spans="1:6" x14ac:dyDescent="0.35">
      <c r="B59">
        <v>900</v>
      </c>
      <c r="C59">
        <v>11.901174876596267</v>
      </c>
      <c r="D59">
        <v>11.90717964390103</v>
      </c>
      <c r="E59" s="1">
        <v>1.3262599469496019</v>
      </c>
      <c r="F59" s="1">
        <v>1.3262599469496019</v>
      </c>
    </row>
    <row r="60" spans="1:6" x14ac:dyDescent="0.35">
      <c r="B60">
        <v>1800</v>
      </c>
      <c r="C60">
        <v>5.1823802029290693</v>
      </c>
      <c r="D60">
        <v>7.1535337503606957</v>
      </c>
      <c r="E60" s="1">
        <v>1.3262599469496019</v>
      </c>
      <c r="F60" s="1">
        <v>1.3262599469496019</v>
      </c>
    </row>
    <row r="61" spans="1:6" x14ac:dyDescent="0.35">
      <c r="B61">
        <v>2100</v>
      </c>
      <c r="C61">
        <v>3.9870478573226129</v>
      </c>
      <c r="D61">
        <v>5.6162549847829109</v>
      </c>
      <c r="E61" s="1">
        <v>1.3262599469496019</v>
      </c>
      <c r="F61" s="1">
        <v>1.3262599469496019</v>
      </c>
    </row>
    <row r="62" spans="1:6" x14ac:dyDescent="0.35">
      <c r="B62">
        <v>2450</v>
      </c>
      <c r="C62">
        <v>3.1655543321289761</v>
      </c>
      <c r="D62">
        <v>4.2211546197977983</v>
      </c>
      <c r="E62" s="1">
        <v>1.3262599469496019</v>
      </c>
      <c r="F62" s="1">
        <v>1.3262599469496019</v>
      </c>
    </row>
    <row r="63" spans="1:6" x14ac:dyDescent="0.35">
      <c r="B63">
        <v>2600</v>
      </c>
      <c r="C63">
        <v>2.9061222661866783</v>
      </c>
      <c r="D63">
        <v>3.8122279181901946</v>
      </c>
      <c r="E63" s="1">
        <v>1.3262599469496019</v>
      </c>
      <c r="F63" s="1">
        <v>1.3262599469496019</v>
      </c>
    </row>
    <row r="64" spans="1:6" x14ac:dyDescent="0.35">
      <c r="B64">
        <v>3500</v>
      </c>
      <c r="C64">
        <v>1.8301420315117551</v>
      </c>
      <c r="D64">
        <v>2.2577979762258722</v>
      </c>
      <c r="E64" s="1">
        <v>1.3262599469496019</v>
      </c>
      <c r="F64" s="1">
        <v>1.3262599469496019</v>
      </c>
    </row>
    <row r="65" spans="1:6" x14ac:dyDescent="0.35">
      <c r="B65">
        <v>5000</v>
      </c>
      <c r="C65">
        <v>0.69426637087296061</v>
      </c>
      <c r="D65">
        <v>0.95133534745776227</v>
      </c>
      <c r="E65" s="1">
        <v>1.3262599469496019</v>
      </c>
      <c r="F65" s="1">
        <v>1.3262599469496019</v>
      </c>
    </row>
    <row r="66" spans="1:6" x14ac:dyDescent="0.35">
      <c r="E66" s="1"/>
      <c r="F66" s="1"/>
    </row>
    <row r="67" spans="1:6" x14ac:dyDescent="0.35">
      <c r="A67" t="s">
        <v>10</v>
      </c>
      <c r="B67">
        <v>100</v>
      </c>
      <c r="C67">
        <v>1.8863250145023986</v>
      </c>
      <c r="D67">
        <v>1.6268010270512185</v>
      </c>
      <c r="E67" s="1">
        <v>1.3262599469496019</v>
      </c>
      <c r="F67" s="1">
        <v>1.3262599469496019</v>
      </c>
    </row>
    <row r="68" spans="1:6" x14ac:dyDescent="0.35">
      <c r="B68">
        <v>300</v>
      </c>
      <c r="C68">
        <v>4.4229430491745578</v>
      </c>
      <c r="D68">
        <v>5.5183375757382711</v>
      </c>
      <c r="E68" s="1">
        <v>1.3262599469496019</v>
      </c>
      <c r="F68" s="1">
        <v>1.3262599469496019</v>
      </c>
    </row>
    <row r="69" spans="1:6" x14ac:dyDescent="0.35">
      <c r="B69">
        <v>500</v>
      </c>
      <c r="C69">
        <v>11.063092284811281</v>
      </c>
      <c r="D69">
        <v>9.2082195026341154</v>
      </c>
      <c r="E69" s="1">
        <v>1.3262599469496019</v>
      </c>
      <c r="F69" s="1">
        <v>1.3262599469496019</v>
      </c>
    </row>
    <row r="70" spans="1:6" x14ac:dyDescent="0.35">
      <c r="B70">
        <v>700</v>
      </c>
      <c r="C70">
        <v>10.843612025670154</v>
      </c>
      <c r="D70">
        <v>10.391152315876477</v>
      </c>
      <c r="E70" s="1">
        <v>1.3262599469496019</v>
      </c>
      <c r="F70" s="1">
        <v>1.3262599469496019</v>
      </c>
    </row>
    <row r="71" spans="1:6" x14ac:dyDescent="0.35">
      <c r="B71">
        <v>800</v>
      </c>
      <c r="C71">
        <v>11.431920382171889</v>
      </c>
      <c r="D71">
        <v>10.982589834510902</v>
      </c>
      <c r="E71" s="1">
        <v>1.3262599469496019</v>
      </c>
      <c r="F71" s="1">
        <v>1.3262599469496019</v>
      </c>
    </row>
    <row r="72" spans="1:6" x14ac:dyDescent="0.35">
      <c r="B72">
        <v>900</v>
      </c>
      <c r="C72">
        <v>11.623820829215996</v>
      </c>
      <c r="D72">
        <v>11.652903466992337</v>
      </c>
      <c r="E72" s="1">
        <v>1.3262599469496019</v>
      </c>
      <c r="F72" s="1">
        <v>1.3262599469496019</v>
      </c>
    </row>
    <row r="73" spans="1:6" x14ac:dyDescent="0.35">
      <c r="B73">
        <v>1800</v>
      </c>
      <c r="C73">
        <v>5.6314001008292278</v>
      </c>
      <c r="D73">
        <v>6.7994085225406842</v>
      </c>
      <c r="E73" s="1">
        <v>1.3262599469496019</v>
      </c>
      <c r="F73" s="1">
        <v>1.3262599469496019</v>
      </c>
    </row>
    <row r="74" spans="1:6" x14ac:dyDescent="0.35">
      <c r="B74">
        <v>2100</v>
      </c>
      <c r="C74">
        <v>4.3435474000982541</v>
      </c>
      <c r="D74">
        <v>5.4903695926502696</v>
      </c>
      <c r="E74" s="1">
        <v>1.3262599469496019</v>
      </c>
      <c r="F74" s="1">
        <v>1.3262599469496019</v>
      </c>
    </row>
    <row r="75" spans="1:6" x14ac:dyDescent="0.35">
      <c r="B75">
        <v>2450</v>
      </c>
      <c r="C75">
        <v>3.5269422621737809</v>
      </c>
      <c r="D75">
        <v>4.1695770095834366</v>
      </c>
      <c r="E75" s="1">
        <v>1.3262599469496019</v>
      </c>
      <c r="F75" s="1">
        <v>1.3262599469496019</v>
      </c>
    </row>
    <row r="76" spans="1:6" x14ac:dyDescent="0.35">
      <c r="B76">
        <v>2600</v>
      </c>
      <c r="C76">
        <v>3.2849453648847757</v>
      </c>
      <c r="D76">
        <v>3.7828601774648831</v>
      </c>
      <c r="E76" s="1">
        <v>1.3262599469496019</v>
      </c>
      <c r="F76" s="1">
        <v>1.3262599469496019</v>
      </c>
    </row>
    <row r="77" spans="1:6" x14ac:dyDescent="0.35">
      <c r="B77">
        <v>3500</v>
      </c>
      <c r="C77">
        <v>2.1396747869416419</v>
      </c>
      <c r="D77">
        <v>2.2908498048611219</v>
      </c>
      <c r="E77" s="1">
        <v>1.3262599469496019</v>
      </c>
      <c r="F77" s="1">
        <v>1.3262599469496019</v>
      </c>
    </row>
    <row r="78" spans="1:6" x14ac:dyDescent="0.35">
      <c r="B78">
        <v>5000</v>
      </c>
      <c r="C78">
        <v>0.83086739325742009</v>
      </c>
      <c r="D78">
        <v>0.97387135891371868</v>
      </c>
      <c r="E78" s="1">
        <v>1.3262599469496019</v>
      </c>
      <c r="F78" s="1">
        <v>1.3262599469496019</v>
      </c>
    </row>
    <row r="79" spans="1:6" x14ac:dyDescent="0.35">
      <c r="E79" s="1"/>
      <c r="F79" s="1"/>
    </row>
    <row r="80" spans="1:6" x14ac:dyDescent="0.35">
      <c r="A80" t="s">
        <v>11</v>
      </c>
      <c r="B80">
        <v>100</v>
      </c>
      <c r="C80">
        <v>6.606365486636018</v>
      </c>
      <c r="D80">
        <v>9.0480850083856801</v>
      </c>
      <c r="E80" s="1">
        <v>1.3262599469496019</v>
      </c>
      <c r="F80" s="1">
        <v>1.3262599469496019</v>
      </c>
    </row>
    <row r="81" spans="1:6" x14ac:dyDescent="0.35">
      <c r="B81">
        <v>300</v>
      </c>
      <c r="C81">
        <v>7.6805005359903973</v>
      </c>
      <c r="D81">
        <v>11.149581040997786</v>
      </c>
      <c r="E81" s="1">
        <v>1.3262599469496019</v>
      </c>
      <c r="F81" s="1">
        <v>1.3262599469496019</v>
      </c>
    </row>
    <row r="82" spans="1:6" x14ac:dyDescent="0.35">
      <c r="B82">
        <v>500</v>
      </c>
      <c r="C82">
        <v>8.4000629772711353</v>
      </c>
      <c r="D82">
        <v>7.5047422917655835</v>
      </c>
      <c r="E82" s="1">
        <v>1.3262599469496019</v>
      </c>
      <c r="F82" s="1">
        <v>1.3262599469496019</v>
      </c>
    </row>
    <row r="83" spans="1:6" x14ac:dyDescent="0.35">
      <c r="B83">
        <v>700</v>
      </c>
      <c r="C83">
        <v>8.1784326445135545</v>
      </c>
      <c r="D83">
        <v>7.5086422672951691</v>
      </c>
      <c r="E83" s="1">
        <v>1.3262599469496019</v>
      </c>
      <c r="F83" s="1">
        <v>1.3262599469496019</v>
      </c>
    </row>
    <row r="84" spans="1:6" x14ac:dyDescent="0.35">
      <c r="B84">
        <v>800</v>
      </c>
      <c r="C84">
        <v>7.7243149618449412</v>
      </c>
      <c r="D84">
        <v>7.8918643892608147</v>
      </c>
      <c r="E84" s="1">
        <v>1.3262599469496019</v>
      </c>
      <c r="F84" s="1">
        <v>1.3262599469496019</v>
      </c>
    </row>
    <row r="85" spans="1:6" x14ac:dyDescent="0.35">
      <c r="B85">
        <v>900</v>
      </c>
      <c r="C85">
        <v>7.949707378767096</v>
      </c>
      <c r="D85">
        <v>7.9538633725846877</v>
      </c>
      <c r="E85" s="1">
        <v>1.3262599469496019</v>
      </c>
      <c r="F85" s="1">
        <v>1.3262599469496019</v>
      </c>
    </row>
    <row r="86" spans="1:6" x14ac:dyDescent="0.35">
      <c r="B86">
        <v>1800</v>
      </c>
      <c r="C86">
        <v>4.5375327587658605</v>
      </c>
      <c r="D86">
        <v>5.6999507513633709</v>
      </c>
      <c r="E86" s="1">
        <v>1.3262599469496019</v>
      </c>
      <c r="F86" s="1">
        <v>1.3262599469496019</v>
      </c>
    </row>
    <row r="87" spans="1:6" x14ac:dyDescent="0.35">
      <c r="B87">
        <v>2100</v>
      </c>
      <c r="C87">
        <v>3.4232604451198418</v>
      </c>
      <c r="D87">
        <v>4.4788621531252453</v>
      </c>
      <c r="E87" s="1">
        <v>1.3262599469496019</v>
      </c>
      <c r="F87" s="1">
        <v>1.3262599469496019</v>
      </c>
    </row>
    <row r="88" spans="1:6" x14ac:dyDescent="0.35">
      <c r="B88">
        <v>2450</v>
      </c>
      <c r="C88">
        <v>2.6404301441776759</v>
      </c>
      <c r="D88">
        <v>3.3246257586576973</v>
      </c>
      <c r="E88" s="1">
        <v>1.3262599469496019</v>
      </c>
      <c r="F88" s="1">
        <v>1.3262599469496019</v>
      </c>
    </row>
    <row r="89" spans="1:6" x14ac:dyDescent="0.35">
      <c r="B89">
        <v>2600</v>
      </c>
      <c r="C89">
        <v>2.4609757140169317</v>
      </c>
      <c r="D89">
        <v>2.9729668864059717</v>
      </c>
      <c r="E89" s="1">
        <v>1.3262599469496019</v>
      </c>
      <c r="F89" s="1">
        <v>1.3262599469496019</v>
      </c>
    </row>
    <row r="90" spans="1:6" x14ac:dyDescent="0.35">
      <c r="B90">
        <v>3500</v>
      </c>
      <c r="C90">
        <v>1.5416395853800484</v>
      </c>
      <c r="D90">
        <v>1.8653612629787366</v>
      </c>
      <c r="E90" s="1">
        <v>1.3262599469496019</v>
      </c>
      <c r="F90" s="1">
        <v>1.3262599469496019</v>
      </c>
    </row>
    <row r="91" spans="1:6" x14ac:dyDescent="0.35">
      <c r="B91">
        <v>5000</v>
      </c>
      <c r="C91">
        <v>0.56877817684520671</v>
      </c>
      <c r="D91">
        <v>0.75384890800410587</v>
      </c>
      <c r="E91" s="1">
        <v>1.3262599469496019</v>
      </c>
      <c r="F91" s="1">
        <v>1.3262599469496019</v>
      </c>
    </row>
    <row r="92" spans="1:6" x14ac:dyDescent="0.35">
      <c r="E92" s="1"/>
      <c r="F92" s="1"/>
    </row>
    <row r="93" spans="1:6" x14ac:dyDescent="0.35">
      <c r="A93" t="s">
        <v>12</v>
      </c>
      <c r="B93">
        <v>100</v>
      </c>
      <c r="C93">
        <v>1.0385709166099966</v>
      </c>
      <c r="D93">
        <v>1.077915011324257</v>
      </c>
      <c r="E93" s="1">
        <v>1.3262599469496019</v>
      </c>
      <c r="F93" s="1">
        <v>1.3262599469496019</v>
      </c>
    </row>
    <row r="94" spans="1:6" x14ac:dyDescent="0.35">
      <c r="B94">
        <v>300</v>
      </c>
      <c r="C94">
        <v>6.8048075221989244</v>
      </c>
      <c r="D94">
        <v>6.8368020798280149</v>
      </c>
      <c r="E94" s="1">
        <v>1.3262599469496019</v>
      </c>
      <c r="F94" s="1">
        <v>1.3262599469496019</v>
      </c>
    </row>
    <row r="95" spans="1:6" x14ac:dyDescent="0.35">
      <c r="B95">
        <v>500</v>
      </c>
      <c r="C95">
        <v>9.832643493714869</v>
      </c>
      <c r="D95">
        <v>9.4716765532538147</v>
      </c>
      <c r="E95" s="1">
        <v>1.3262599469496019</v>
      </c>
      <c r="F95" s="1">
        <v>1.3262599469496019</v>
      </c>
    </row>
    <row r="96" spans="1:6" x14ac:dyDescent="0.35">
      <c r="B96">
        <v>700</v>
      </c>
      <c r="C96">
        <v>9.3032177756641303</v>
      </c>
      <c r="D96">
        <v>9.0885387732985734</v>
      </c>
      <c r="E96" s="1">
        <v>1.3262599469496019</v>
      </c>
      <c r="F96" s="1">
        <v>1.3262599469496019</v>
      </c>
    </row>
    <row r="97" spans="1:6" x14ac:dyDescent="0.35">
      <c r="B97">
        <v>800</v>
      </c>
      <c r="C97">
        <v>9.4891170610124043</v>
      </c>
      <c r="D97">
        <v>9.5649984200829774</v>
      </c>
      <c r="E97" s="1">
        <v>1.3262599469496019</v>
      </c>
      <c r="F97" s="1">
        <v>1.3262599469496019</v>
      </c>
    </row>
    <row r="98" spans="1:6" x14ac:dyDescent="0.35">
      <c r="B98">
        <v>900</v>
      </c>
      <c r="C98">
        <v>9.58564133897708</v>
      </c>
      <c r="D98">
        <v>10.048990538981892</v>
      </c>
      <c r="E98" s="1">
        <v>1.3262599469496019</v>
      </c>
      <c r="F98" s="1">
        <v>1.3262599469496019</v>
      </c>
    </row>
    <row r="99" spans="1:6" x14ac:dyDescent="0.35">
      <c r="B99">
        <v>1800</v>
      </c>
      <c r="C99">
        <v>4.7178594099185203</v>
      </c>
      <c r="D99">
        <v>6.4146230898594903</v>
      </c>
      <c r="E99" s="1">
        <v>1.3262599469496019</v>
      </c>
      <c r="F99" s="1">
        <v>1.3262599469496019</v>
      </c>
    </row>
    <row r="100" spans="1:6" x14ac:dyDescent="0.35">
      <c r="B100">
        <v>2100</v>
      </c>
      <c r="C100">
        <v>3.6128621561205176</v>
      </c>
      <c r="D100">
        <v>4.9389051987937611</v>
      </c>
      <c r="E100" s="1">
        <v>1.3262599469496019</v>
      </c>
      <c r="F100" s="1">
        <v>1.3262599469496019</v>
      </c>
    </row>
    <row r="101" spans="1:6" x14ac:dyDescent="0.35">
      <c r="B101">
        <v>2450</v>
      </c>
      <c r="C101">
        <v>2.786560646695909</v>
      </c>
      <c r="D101">
        <v>3.6770795909741798</v>
      </c>
      <c r="E101" s="1">
        <v>1.3262599469496019</v>
      </c>
      <c r="F101" s="1">
        <v>1.3262599469496019</v>
      </c>
    </row>
    <row r="102" spans="1:6" x14ac:dyDescent="0.35">
      <c r="B102">
        <v>2600</v>
      </c>
      <c r="C102">
        <v>2.5837139079288978</v>
      </c>
      <c r="D102">
        <v>3.282507713826238</v>
      </c>
      <c r="E102" s="1">
        <v>1.3262599469496019</v>
      </c>
      <c r="F102" s="1">
        <v>1.3262599469496019</v>
      </c>
    </row>
    <row r="103" spans="1:6" x14ac:dyDescent="0.35">
      <c r="B103">
        <v>3500</v>
      </c>
      <c r="C103">
        <v>1.5287347444112993</v>
      </c>
      <c r="D103">
        <v>2.0066184388879811</v>
      </c>
      <c r="E103" s="1">
        <v>1.3262599469496019</v>
      </c>
      <c r="F103" s="1">
        <v>1.3262599469496019</v>
      </c>
    </row>
    <row r="104" spans="1:6" x14ac:dyDescent="0.35">
      <c r="B104">
        <v>5000</v>
      </c>
      <c r="C104">
        <v>0.52456103172401425</v>
      </c>
      <c r="D104">
        <v>0.83592572981280577</v>
      </c>
      <c r="E104" s="1">
        <v>1.3262599469496019</v>
      </c>
      <c r="F104" s="1">
        <v>1.3262599469496019</v>
      </c>
    </row>
    <row r="105" spans="1:6" x14ac:dyDescent="0.35">
      <c r="E105" s="1"/>
      <c r="F105" s="1"/>
    </row>
    <row r="106" spans="1:6" x14ac:dyDescent="0.35">
      <c r="A106" t="s">
        <v>13</v>
      </c>
      <c r="B106">
        <v>100</v>
      </c>
      <c r="C106">
        <v>7.1561480755720464</v>
      </c>
      <c r="D106">
        <v>9.6866341617937373</v>
      </c>
      <c r="E106" s="1">
        <v>1.3262599469496019</v>
      </c>
      <c r="F106" s="1">
        <v>1.3262599469496019</v>
      </c>
    </row>
    <row r="107" spans="1:6" x14ac:dyDescent="0.35">
      <c r="B107">
        <v>300</v>
      </c>
      <c r="C107">
        <v>5.5215315238903644</v>
      </c>
      <c r="D107">
        <v>6.0064317053313516</v>
      </c>
      <c r="E107" s="1">
        <v>1.3262599469496019</v>
      </c>
      <c r="F107" s="1">
        <v>1.3262599469496019</v>
      </c>
    </row>
    <row r="108" spans="1:6" x14ac:dyDescent="0.35">
      <c r="B108">
        <v>500</v>
      </c>
      <c r="C108">
        <v>6.0827053040460148</v>
      </c>
      <c r="D108">
        <v>6.6687056001134826</v>
      </c>
      <c r="E108" s="1">
        <v>1.3262599469496019</v>
      </c>
      <c r="F108" s="1">
        <v>1.3262599469496019</v>
      </c>
    </row>
    <row r="109" spans="1:6" x14ac:dyDescent="0.35">
      <c r="B109">
        <v>700</v>
      </c>
      <c r="C109">
        <v>9.0491856414662308</v>
      </c>
      <c r="D109">
        <v>8.8660691142849384</v>
      </c>
      <c r="E109" s="1">
        <v>1.3262599469496019</v>
      </c>
      <c r="F109" s="1">
        <v>1.3262599469496019</v>
      </c>
    </row>
    <row r="110" spans="1:6" x14ac:dyDescent="0.35">
      <c r="B110">
        <v>800</v>
      </c>
      <c r="C110">
        <v>9.254373271941045</v>
      </c>
      <c r="D110">
        <v>10.205368685143863</v>
      </c>
      <c r="E110" s="1">
        <v>1.3262599469496019</v>
      </c>
      <c r="F110" s="1">
        <v>1.3262599469496019</v>
      </c>
    </row>
    <row r="111" spans="1:6" x14ac:dyDescent="0.35">
      <c r="B111">
        <v>900</v>
      </c>
      <c r="C111">
        <v>8.9625408644684956</v>
      </c>
      <c r="D111">
        <v>10.619822335488369</v>
      </c>
      <c r="E111" s="1">
        <v>1.3262599469496019</v>
      </c>
      <c r="F111" s="1">
        <v>1.3262599469496019</v>
      </c>
    </row>
    <row r="112" spans="1:6" x14ac:dyDescent="0.35">
      <c r="B112">
        <v>1800</v>
      </c>
      <c r="C112">
        <v>3.0073594953737612</v>
      </c>
      <c r="D112">
        <v>4.7830419908296777</v>
      </c>
      <c r="E112" s="1">
        <v>1.3262599469496019</v>
      </c>
      <c r="F112" s="1">
        <v>1.3262599469496019</v>
      </c>
    </row>
    <row r="113" spans="1:6" x14ac:dyDescent="0.35">
      <c r="B113">
        <v>2100</v>
      </c>
      <c r="C113">
        <v>2.1288352243133475</v>
      </c>
      <c r="D113">
        <v>3.3181964501078909</v>
      </c>
      <c r="E113" s="1">
        <v>1.3262599469496019</v>
      </c>
      <c r="F113" s="1">
        <v>1.3262599469496019</v>
      </c>
    </row>
    <row r="114" spans="1:6" x14ac:dyDescent="0.35">
      <c r="B114">
        <v>2450</v>
      </c>
      <c r="C114">
        <v>1.8132308721901573</v>
      </c>
      <c r="D114">
        <v>2.6265746584565117</v>
      </c>
      <c r="E114" s="1">
        <v>1.3262599469496019</v>
      </c>
      <c r="F114" s="1">
        <v>1.3262599469496019</v>
      </c>
    </row>
    <row r="115" spans="1:6" x14ac:dyDescent="0.35">
      <c r="B115">
        <v>2600</v>
      </c>
      <c r="C115">
        <v>1.6410059300930455</v>
      </c>
      <c r="D115">
        <v>2.4233994667309098</v>
      </c>
      <c r="E115" s="1">
        <v>1.3262599469496019</v>
      </c>
      <c r="F115" s="1">
        <v>1.3262599469496019</v>
      </c>
    </row>
    <row r="116" spans="1:6" x14ac:dyDescent="0.35">
      <c r="B116">
        <v>3500</v>
      </c>
      <c r="C116">
        <v>1.0124346727536708</v>
      </c>
      <c r="D116">
        <v>1.5211522154178621</v>
      </c>
      <c r="E116" s="1">
        <v>1.3262599469496019</v>
      </c>
      <c r="F116" s="1">
        <v>1.3262599469496019</v>
      </c>
    </row>
    <row r="117" spans="1:6" x14ac:dyDescent="0.35">
      <c r="B117">
        <v>5000</v>
      </c>
      <c r="C117">
        <v>0.39327830731077218</v>
      </c>
      <c r="D117">
        <v>0.69234576898103228</v>
      </c>
      <c r="E117" s="1">
        <v>1.3262599469496019</v>
      </c>
      <c r="F117" s="1">
        <v>1.3262599469496019</v>
      </c>
    </row>
    <row r="118" spans="1:6" x14ac:dyDescent="0.35">
      <c r="E118" s="1"/>
      <c r="F118" s="1"/>
    </row>
    <row r="119" spans="1:6" x14ac:dyDescent="0.35">
      <c r="A119" t="s">
        <v>14</v>
      </c>
      <c r="B119">
        <v>100</v>
      </c>
      <c r="C119">
        <v>0.91708908983239257</v>
      </c>
      <c r="D119">
        <v>0.98148310358052215</v>
      </c>
      <c r="E119" s="1">
        <v>1.3262599469496019</v>
      </c>
      <c r="F119" s="1">
        <v>1.3262599469496019</v>
      </c>
    </row>
    <row r="120" spans="1:6" x14ac:dyDescent="0.35">
      <c r="B120">
        <v>300</v>
      </c>
      <c r="C120">
        <v>5.7265841291434372</v>
      </c>
      <c r="D120">
        <v>6.5428541240391525</v>
      </c>
      <c r="E120" s="1">
        <v>1.3262599469496019</v>
      </c>
      <c r="F120" s="1">
        <v>1.3262599469496019</v>
      </c>
    </row>
    <row r="121" spans="1:6" x14ac:dyDescent="0.35">
      <c r="B121">
        <v>500</v>
      </c>
      <c r="C121">
        <v>8.092912634872981</v>
      </c>
      <c r="D121">
        <v>8.0329993613639541</v>
      </c>
      <c r="E121" s="1">
        <v>1.3262599469496019</v>
      </c>
      <c r="F121" s="1">
        <v>1.3262599469496019</v>
      </c>
    </row>
    <row r="122" spans="1:6" x14ac:dyDescent="0.35">
      <c r="B122">
        <v>700</v>
      </c>
      <c r="C122">
        <v>9.5062942248119278</v>
      </c>
      <c r="D122">
        <v>9.4818378237048577</v>
      </c>
      <c r="E122" s="1">
        <v>1.3262599469496019</v>
      </c>
      <c r="F122" s="1">
        <v>1.3262599469496019</v>
      </c>
    </row>
    <row r="123" spans="1:6" x14ac:dyDescent="0.35">
      <c r="B123">
        <v>800</v>
      </c>
      <c r="C123">
        <v>9.8722933722740773</v>
      </c>
      <c r="D123">
        <v>10.322783270235423</v>
      </c>
      <c r="E123" s="1">
        <v>1.3262599469496019</v>
      </c>
      <c r="F123" s="1">
        <v>1.3262599469496019</v>
      </c>
    </row>
    <row r="124" spans="1:6" x14ac:dyDescent="0.35">
      <c r="B124">
        <v>900</v>
      </c>
      <c r="C124">
        <v>9.5035068659502198</v>
      </c>
      <c r="D124">
        <v>10.124384512092703</v>
      </c>
      <c r="E124" s="1">
        <v>1.3262599469496019</v>
      </c>
      <c r="F124" s="1">
        <v>1.3262599469496019</v>
      </c>
    </row>
    <row r="125" spans="1:6" x14ac:dyDescent="0.35">
      <c r="B125">
        <v>1800</v>
      </c>
      <c r="C125">
        <v>4.0235702448112782</v>
      </c>
      <c r="D125">
        <v>5.7130534282186654</v>
      </c>
      <c r="E125" s="1">
        <v>1.3262599469496019</v>
      </c>
      <c r="F125" s="1">
        <v>1.3262599469496019</v>
      </c>
    </row>
    <row r="126" spans="1:6" x14ac:dyDescent="0.35">
      <c r="B126">
        <v>2100</v>
      </c>
      <c r="C126">
        <v>3.0627257069998146</v>
      </c>
      <c r="D126">
        <v>4.3127009571774826</v>
      </c>
      <c r="E126" s="1">
        <v>1.3262599469496019</v>
      </c>
      <c r="F126" s="1">
        <v>1.3262599469496019</v>
      </c>
    </row>
    <row r="127" spans="1:6" x14ac:dyDescent="0.35">
      <c r="B127">
        <v>2450</v>
      </c>
      <c r="C127">
        <v>2.4444149527038626</v>
      </c>
      <c r="D127">
        <v>3.2485186505903449</v>
      </c>
      <c r="E127" s="1">
        <v>1.3262599469496019</v>
      </c>
      <c r="F127" s="1">
        <v>1.3262599469496019</v>
      </c>
    </row>
    <row r="128" spans="1:6" x14ac:dyDescent="0.35">
      <c r="B128">
        <v>2600</v>
      </c>
      <c r="C128">
        <v>2.1970186721470162</v>
      </c>
      <c r="D128">
        <v>2.8836094072513219</v>
      </c>
      <c r="E128" s="1">
        <v>1.3262599469496019</v>
      </c>
      <c r="F128" s="1">
        <v>1.3262599469496019</v>
      </c>
    </row>
    <row r="129" spans="1:6" x14ac:dyDescent="0.35">
      <c r="B129">
        <v>3500</v>
      </c>
      <c r="C129">
        <v>1.2026292781368768</v>
      </c>
      <c r="D129">
        <v>1.7472753931987541</v>
      </c>
      <c r="E129" s="1">
        <v>1.3262599469496019</v>
      </c>
      <c r="F129" s="1">
        <v>1.3262599469496019</v>
      </c>
    </row>
    <row r="130" spans="1:6" x14ac:dyDescent="0.35">
      <c r="B130">
        <v>5000</v>
      </c>
      <c r="C130">
        <v>0.38384717452247269</v>
      </c>
      <c r="D130">
        <v>0.74683428554431786</v>
      </c>
      <c r="E130" s="1">
        <v>1.3262599469496019</v>
      </c>
      <c r="F130" s="1">
        <v>1.3262599469496019</v>
      </c>
    </row>
    <row r="131" spans="1:6" x14ac:dyDescent="0.35">
      <c r="E131" s="1"/>
      <c r="F131" s="1"/>
    </row>
    <row r="132" spans="1:6" x14ac:dyDescent="0.35">
      <c r="A132" t="s">
        <v>15</v>
      </c>
      <c r="B132">
        <v>100</v>
      </c>
      <c r="C132">
        <v>6.4211311349172755</v>
      </c>
      <c r="D132">
        <v>8.5321247022173097</v>
      </c>
      <c r="E132" s="1">
        <v>1.3262599469496019</v>
      </c>
      <c r="F132" s="1">
        <v>1.3262599469496019</v>
      </c>
    </row>
    <row r="133" spans="1:6" x14ac:dyDescent="0.35">
      <c r="B133">
        <v>300</v>
      </c>
      <c r="C133">
        <v>8.0106677524363405</v>
      </c>
      <c r="D133">
        <v>10.960069716840852</v>
      </c>
      <c r="E133" s="1">
        <v>1.3262599469496019</v>
      </c>
      <c r="F133" s="1">
        <v>1.3262599469496019</v>
      </c>
    </row>
    <row r="134" spans="1:6" x14ac:dyDescent="0.35">
      <c r="B134">
        <v>500</v>
      </c>
      <c r="C134">
        <v>8.4739359361924578</v>
      </c>
      <c r="D134">
        <v>7.430452797789461</v>
      </c>
      <c r="E134" s="1">
        <v>1.3262599469496019</v>
      </c>
      <c r="F134" s="1">
        <v>1.3262599469496019</v>
      </c>
    </row>
    <row r="135" spans="1:6" x14ac:dyDescent="0.35">
      <c r="B135">
        <v>700</v>
      </c>
      <c r="C135">
        <v>7.9890496428334723</v>
      </c>
      <c r="D135">
        <v>7.4473590030131689</v>
      </c>
      <c r="E135" s="1">
        <v>1.3262599469496019</v>
      </c>
      <c r="F135" s="1">
        <v>1.3262599469496019</v>
      </c>
    </row>
    <row r="136" spans="1:6" x14ac:dyDescent="0.35">
      <c r="B136">
        <v>800</v>
      </c>
      <c r="C136">
        <v>7.849800880667904</v>
      </c>
      <c r="D136">
        <v>7.9340969765155105</v>
      </c>
      <c r="E136" s="1">
        <v>1.3262599469496019</v>
      </c>
      <c r="F136" s="1">
        <v>1.3262599469496019</v>
      </c>
    </row>
    <row r="137" spans="1:6" x14ac:dyDescent="0.35">
      <c r="B137">
        <v>900</v>
      </c>
      <c r="C137">
        <v>8.1153757086996627</v>
      </c>
      <c r="D137">
        <v>7.8894542533903547</v>
      </c>
      <c r="E137" s="1">
        <v>1.3262599469496019</v>
      </c>
      <c r="F137" s="1">
        <v>1.3262599469496019</v>
      </c>
    </row>
    <row r="138" spans="1:6" x14ac:dyDescent="0.35">
      <c r="B138">
        <v>1800</v>
      </c>
      <c r="C138">
        <v>4.3644676738935981</v>
      </c>
      <c r="D138">
        <v>5.3583754645131645</v>
      </c>
      <c r="E138" s="1">
        <v>1.3262599469496019</v>
      </c>
      <c r="F138" s="1">
        <v>1.3262599469496019</v>
      </c>
    </row>
    <row r="139" spans="1:6" x14ac:dyDescent="0.35">
      <c r="B139">
        <v>2100</v>
      </c>
      <c r="C139">
        <v>3.354090227214221</v>
      </c>
      <c r="D139">
        <v>4.1238043709980863</v>
      </c>
      <c r="E139" s="1">
        <v>1.3262599469496019</v>
      </c>
      <c r="F139" s="1">
        <v>1.3262599469496019</v>
      </c>
    </row>
    <row r="140" spans="1:6" x14ac:dyDescent="0.35">
      <c r="B140">
        <v>2450</v>
      </c>
      <c r="C140">
        <v>2.5766579350212497</v>
      </c>
      <c r="D140">
        <v>3.0860969691022047</v>
      </c>
      <c r="E140" s="1">
        <v>1.3262599469496019</v>
      </c>
      <c r="F140" s="1">
        <v>1.3262599469496019</v>
      </c>
    </row>
    <row r="141" spans="1:6" x14ac:dyDescent="0.35">
      <c r="B141">
        <v>2600</v>
      </c>
      <c r="C141">
        <v>2.3910854904388454</v>
      </c>
      <c r="D141">
        <v>2.7851009589921243</v>
      </c>
      <c r="E141" s="1">
        <v>1.3262599469496019</v>
      </c>
      <c r="F141" s="1">
        <v>1.3262599469496019</v>
      </c>
    </row>
    <row r="142" spans="1:6" x14ac:dyDescent="0.35">
      <c r="B142">
        <v>3500</v>
      </c>
      <c r="C142">
        <v>1.44301825560831</v>
      </c>
      <c r="D142">
        <v>1.7581925801775671</v>
      </c>
      <c r="E142" s="1">
        <v>1.3262599469496019</v>
      </c>
      <c r="F142" s="1">
        <v>1.3262599469496019</v>
      </c>
    </row>
    <row r="143" spans="1:6" x14ac:dyDescent="0.35">
      <c r="B143">
        <v>5000</v>
      </c>
      <c r="C143">
        <v>0.52551581523897795</v>
      </c>
      <c r="D143">
        <v>0.6920174863292905</v>
      </c>
      <c r="E143" s="1">
        <v>1.3262599469496019</v>
      </c>
      <c r="F143" s="1">
        <v>1.3262599469496019</v>
      </c>
    </row>
    <row r="144" spans="1:6" x14ac:dyDescent="0.35">
      <c r="E144" s="1"/>
      <c r="F144" s="1"/>
    </row>
    <row r="145" spans="1:6" x14ac:dyDescent="0.35">
      <c r="A145" t="s">
        <v>16</v>
      </c>
      <c r="B145">
        <v>100</v>
      </c>
      <c r="C145">
        <v>1.0298219597657421</v>
      </c>
      <c r="D145">
        <v>1.0664019084050236</v>
      </c>
      <c r="E145" s="1">
        <v>1.3262599469496019</v>
      </c>
      <c r="F145" s="1">
        <v>1.3262599469496019</v>
      </c>
    </row>
    <row r="146" spans="1:6" x14ac:dyDescent="0.35">
      <c r="B146">
        <v>300</v>
      </c>
      <c r="C146">
        <v>6.7355838916481661</v>
      </c>
      <c r="D146">
        <v>6.7751214195385598</v>
      </c>
      <c r="E146" s="1">
        <v>1.3262599469496019</v>
      </c>
      <c r="F146" s="1">
        <v>1.3262599469496019</v>
      </c>
    </row>
    <row r="147" spans="1:6" x14ac:dyDescent="0.35">
      <c r="B147">
        <v>500</v>
      </c>
      <c r="C147">
        <v>9.7596768476132283</v>
      </c>
      <c r="D147">
        <v>9.424753619570069</v>
      </c>
      <c r="E147" s="1">
        <v>1.3262599469496019</v>
      </c>
      <c r="F147" s="1">
        <v>1.3262599469496019</v>
      </c>
    </row>
    <row r="148" spans="1:6" x14ac:dyDescent="0.35">
      <c r="B148">
        <v>700</v>
      </c>
      <c r="C148">
        <v>9.0726304782268556</v>
      </c>
      <c r="D148">
        <v>8.9220254013012337</v>
      </c>
      <c r="E148" s="1">
        <v>1.3262599469496019</v>
      </c>
      <c r="F148" s="1">
        <v>1.3262599469496019</v>
      </c>
    </row>
    <row r="149" spans="1:6" x14ac:dyDescent="0.35">
      <c r="B149">
        <v>800</v>
      </c>
      <c r="C149">
        <v>9.4010861228525595</v>
      </c>
      <c r="D149">
        <v>9.3744004178277223</v>
      </c>
      <c r="E149" s="1">
        <v>1.3262599469496019</v>
      </c>
      <c r="F149" s="1">
        <v>1.3262599469496019</v>
      </c>
    </row>
    <row r="150" spans="1:6" x14ac:dyDescent="0.35">
      <c r="B150">
        <v>900</v>
      </c>
      <c r="C150">
        <v>9.4172989281758248</v>
      </c>
      <c r="D150">
        <v>9.7787917574455392</v>
      </c>
      <c r="E150" s="1">
        <v>1.3262599469496019</v>
      </c>
      <c r="F150" s="1">
        <v>1.3262599469496019</v>
      </c>
    </row>
    <row r="151" spans="1:6" x14ac:dyDescent="0.35">
      <c r="B151">
        <v>1800</v>
      </c>
      <c r="C151">
        <v>4.6308824636337196</v>
      </c>
      <c r="D151">
        <v>6.0887083181161596</v>
      </c>
      <c r="E151" s="1">
        <v>1.3262599469496019</v>
      </c>
      <c r="F151" s="1">
        <v>1.3262599469496019</v>
      </c>
    </row>
    <row r="152" spans="1:6" x14ac:dyDescent="0.35">
      <c r="B152">
        <v>2100</v>
      </c>
      <c r="C152">
        <v>3.6204544836758688</v>
      </c>
      <c r="D152">
        <v>4.6587180850154004</v>
      </c>
      <c r="E152" s="1">
        <v>1.3262599469496019</v>
      </c>
      <c r="F152" s="1">
        <v>1.3262599469496019</v>
      </c>
    </row>
    <row r="153" spans="1:6" x14ac:dyDescent="0.35">
      <c r="B153">
        <v>2450</v>
      </c>
      <c r="C153">
        <v>2.808741319775224</v>
      </c>
      <c r="D153">
        <v>3.4527300517407871</v>
      </c>
      <c r="E153" s="1">
        <v>1.3262599469496019</v>
      </c>
      <c r="F153" s="1">
        <v>1.3262599469496019</v>
      </c>
    </row>
    <row r="154" spans="1:6" x14ac:dyDescent="0.35">
      <c r="B154">
        <v>2600</v>
      </c>
      <c r="C154">
        <v>2.5922752058955019</v>
      </c>
      <c r="D154">
        <v>3.0983749191764787</v>
      </c>
      <c r="E154" s="1">
        <v>1.3262599469496019</v>
      </c>
      <c r="F154" s="1">
        <v>1.3262599469496019</v>
      </c>
    </row>
    <row r="155" spans="1:6" x14ac:dyDescent="0.35">
      <c r="B155">
        <v>3500</v>
      </c>
      <c r="C155">
        <v>1.454377193665966</v>
      </c>
      <c r="D155">
        <v>1.9250210937233967</v>
      </c>
      <c r="E155" s="1">
        <v>1.3262599469496019</v>
      </c>
      <c r="F155" s="1">
        <v>1.3262599469496019</v>
      </c>
    </row>
    <row r="156" spans="1:6" x14ac:dyDescent="0.35">
      <c r="B156">
        <v>5000</v>
      </c>
      <c r="C156">
        <v>0.48922923653660971</v>
      </c>
      <c r="D156">
        <v>0.7655278407747953</v>
      </c>
      <c r="E156" s="1">
        <v>1.3262599469496019</v>
      </c>
      <c r="F156" s="1">
        <v>1.3262599469496019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Costa, Giovanni</dc:creator>
  <cp:lastModifiedBy>Hamed Jalilian</cp:lastModifiedBy>
  <dcterms:created xsi:type="dcterms:W3CDTF">2026-05-28T23:07:32Z</dcterms:created>
  <dcterms:modified xsi:type="dcterms:W3CDTF">2026-07-17T10:18:09Z</dcterms:modified>
</cp:coreProperties>
</file>